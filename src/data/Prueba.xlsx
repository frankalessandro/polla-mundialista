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8_{A00B604C-87C5-4B42-AD1D-E9543CA90C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olla - Grupos" sheetId="1" r:id="rId1"/>
    <sheet name="Sumatoria" sheetId="2" r:id="rId2"/>
  </sheets>
  <externalReferences>
    <externalReference r:id="rId3"/>
  </externalReferences>
  <definedNames>
    <definedName name="clave">[1]Recursos!$AD$2</definedName>
    <definedName name="claveN">[1]Recursos!$AD$3</definedName>
    <definedName name="CoefUTCD">[1]UTC!$AA$3</definedName>
    <definedName name="flag01">INDIRECT([1]Dieciseisavos!$E$8)</definedName>
    <definedName name="flag02">INDIRECT([1]Dieciseisavos!$E$12)</definedName>
    <definedName name="flag03">INDIRECT([1]Dieciseisavos!$E$16)</definedName>
    <definedName name="flag04">INDIRECT([1]Dieciseisavos!$E$20)</definedName>
    <definedName name="flag05">INDIRECT([1]Dieciseisavos!$E$24)</definedName>
    <definedName name="flag06">INDIRECT([1]Dieciseisavos!$E$28)</definedName>
    <definedName name="flag07">INDIRECT([1]Dieciseisavos!$E$32)</definedName>
    <definedName name="flag08">INDIRECT([1]Dieciseisavos!$E$36)</definedName>
    <definedName name="flag09">INDIRECT([1]Dieciseisavos!$E$40)</definedName>
    <definedName name="flag10">INDIRECT([1]Dieciseisavos!$E$44)</definedName>
    <definedName name="flag11">INDIRECT([1]Dieciseisavos!$E$48)</definedName>
    <definedName name="flag12">INDIRECT([1]Dieciseisavos!$E$52)</definedName>
    <definedName name="flag13">INDIRECT([1]Dieciseisavos!$E$56)</definedName>
    <definedName name="flag14">INDIRECT([1]Dieciseisavos!$E$60)</definedName>
    <definedName name="flag15">INDIRECT([1]Dieciseisavos!$E$64)</definedName>
    <definedName name="flag16">INDIRECT([1]Dieciseisavos!$E$68)</definedName>
    <definedName name="flag17">INDIRECT([1]Dieciseisavos!$O$8)</definedName>
    <definedName name="flag18">INDIRECT([1]Dieciseisavos!$O$12)</definedName>
    <definedName name="flag19">INDIRECT([1]Dieciseisavos!$O$16)</definedName>
    <definedName name="flag20">INDIRECT([1]Dieciseisavos!$O$20)</definedName>
    <definedName name="flag21">INDIRECT([1]Dieciseisavos!$O$24)</definedName>
    <definedName name="flag22">INDIRECT([1]Dieciseisavos!$O$28)</definedName>
    <definedName name="flag23">INDIRECT([1]Dieciseisavos!$O$32)</definedName>
    <definedName name="flag24">INDIRECT([1]Dieciseisavos!$O$36)</definedName>
    <definedName name="flag25">INDIRECT([1]Dieciseisavos!$O$40)</definedName>
    <definedName name="flag26">INDIRECT([1]Dieciseisavos!$O$44)</definedName>
    <definedName name="flag27">INDIRECT([1]Dieciseisavos!$O$48)</definedName>
    <definedName name="flag28">INDIRECT([1]Dieciseisavos!$O$52)</definedName>
    <definedName name="flag29">INDIRECT([1]Dieciseisavos!$O$56)</definedName>
    <definedName name="flag30">INDIRECT([1]Dieciseisavos!$O$60)</definedName>
    <definedName name="flag31">INDIRECT([1]Dieciseisavos!$O$64)</definedName>
    <definedName name="flag32">INDIRECT([1]Dieciseisavos!$O$68)</definedName>
    <definedName name="flag33">INDIRECT([1]Octavos!$E$8)</definedName>
    <definedName name="flag34">INDIRECT([1]Octavos!$E$12)</definedName>
    <definedName name="flag35">INDIRECT([1]Octavos!$E$16)</definedName>
    <definedName name="flag36">INDIRECT([1]Octavos!$E$20)</definedName>
    <definedName name="flag37">INDIRECT([1]Octavos!$E$24)</definedName>
    <definedName name="flag38">INDIRECT([1]Octavos!$E$28)</definedName>
    <definedName name="flag39">INDIRECT([1]Octavos!$E$32)</definedName>
    <definedName name="flag40">INDIRECT([1]Octavos!$E$36)</definedName>
    <definedName name="flag41">INDIRECT([1]Octavos!$O$8)</definedName>
    <definedName name="flag42">INDIRECT([1]Octavos!$O$12)</definedName>
    <definedName name="flag43">INDIRECT([1]Octavos!$O$16)</definedName>
    <definedName name="flag44">INDIRECT([1]Octavos!$O$20)</definedName>
    <definedName name="flag45">INDIRECT([1]Octavos!$O$24)</definedName>
    <definedName name="flag46">INDIRECT([1]Octavos!$O$28)</definedName>
    <definedName name="flag47">INDIRECT([1]Octavos!$O$32)</definedName>
    <definedName name="flag48">INDIRECT([1]Octavos!$O$36)</definedName>
    <definedName name="flag49">INDIRECT([1]Cuartos!$E$8)</definedName>
    <definedName name="flag50">INDIRECT([1]Cuartos!$E$12)</definedName>
    <definedName name="flag51">INDIRECT([1]Cuartos!$E$16)</definedName>
    <definedName name="flag52">INDIRECT([1]Cuartos!$E$20)</definedName>
    <definedName name="flag53">INDIRECT([1]Cuartos!$O$8)</definedName>
    <definedName name="flag54">INDIRECT([1]Cuartos!$O$12)</definedName>
    <definedName name="flag55">INDIRECT([1]Cuartos!$O$16)</definedName>
    <definedName name="flag56">INDIRECT([1]Cuartos!$O$20)</definedName>
    <definedName name="flag57">INDIRECT([1]Semifinales!$E$8)</definedName>
    <definedName name="flag58">INDIRECT([1]Semifinales!$E$12)</definedName>
    <definedName name="flag59">INDIRECT([1]Semifinales!$O$8)</definedName>
    <definedName name="flag60">INDIRECT([1]Semifinales!$O$12)</definedName>
    <definedName name="flag61">INDIRECT([1]FINAL!$E$8)</definedName>
    <definedName name="flag62">INDIRECT([1]FINAL!$E$15)</definedName>
    <definedName name="flag63">INDIRECT([1]FINAL!$O$8)</definedName>
    <definedName name="flag64">INDIRECT([1]FINAL!$O$15)</definedName>
    <definedName name="flag65">INDIRECT([1]FINAL!$E$16)</definedName>
    <definedName name="Ganador100">[1]Cuartos!$R$20</definedName>
    <definedName name="Ganador101">[1]Semifinales!$R$8</definedName>
    <definedName name="Ganador102">[1]Semifinales!$R$12</definedName>
    <definedName name="Ganador73">[1]Dieciseisavos!$R$8</definedName>
    <definedName name="Ganador74">[1]Dieciseisavos!$R$16</definedName>
    <definedName name="Ganador75">[1]Dieciseisavos!$R$20</definedName>
    <definedName name="Ganador76">[1]Dieciseisavos!$R$12</definedName>
    <definedName name="Ganador77">[1]Dieciseisavos!$R$28</definedName>
    <definedName name="Ganador78">[1]Dieciseisavos!$R$24</definedName>
    <definedName name="Ganador79">[1]Dieciseisavos!$R$32</definedName>
    <definedName name="Ganador80">[1]Dieciseisavos!$R$36</definedName>
    <definedName name="Ganador81">[1]Dieciseisavos!$R$44</definedName>
    <definedName name="Ganador82">[1]Dieciseisavos!$R$40</definedName>
    <definedName name="Ganador83">[1]Dieciseisavos!$R$52</definedName>
    <definedName name="Ganador84">[1]Dieciseisavos!$R$48</definedName>
    <definedName name="Ganador85">[1]Dieciseisavos!$R$56</definedName>
    <definedName name="Ganador86">[1]Dieciseisavos!$R$64</definedName>
    <definedName name="Ganador87">[1]Dieciseisavos!$R$68</definedName>
    <definedName name="Ganador88">[1]Dieciseisavos!$R$60</definedName>
    <definedName name="Ganador89">[1]Octavos!$R$12</definedName>
    <definedName name="Ganador90">[1]Octavos!$R$8</definedName>
    <definedName name="Ganador91">[1]Octavos!$R$16</definedName>
    <definedName name="Ganador92">[1]Octavos!$R$20</definedName>
    <definedName name="Ganador93">[1]Octavos!$R$24</definedName>
    <definedName name="Ganador94">[1]Octavos!$R$28</definedName>
    <definedName name="Ganador95">[1]Octavos!$R$32</definedName>
    <definedName name="Ganador96">[1]Octavos!$R$36</definedName>
    <definedName name="Ganador97">[1]Cuartos!$R$8</definedName>
    <definedName name="Ganador98">[1]Cuartos!$R$12</definedName>
    <definedName name="Ganador99">[1]Cuartos!$R$16</definedName>
    <definedName name="HD">[1]UTC!$Y$3</definedName>
    <definedName name="ListaUTC">[1]Recursos!$D$1:$D$36</definedName>
    <definedName name="MD">[1]UTC!$Z$3</definedName>
    <definedName name="Perdedor101">[1]Semifinales!$T$8</definedName>
    <definedName name="Perdedor102">[1]Semifinales!$T$12</definedName>
    <definedName name="PrimeroA">[1]A!$AQ$10</definedName>
    <definedName name="PrimeroB">[1]B!$AQ$10</definedName>
    <definedName name="PrimeroC">[1]C!$AQ$10</definedName>
    <definedName name="PrimeroD">[1]D!$AQ$10</definedName>
    <definedName name="PrimeroE">[1]E!$AQ$10</definedName>
    <definedName name="PrimeroF">[1]F!$AQ$10</definedName>
    <definedName name="PrimeroG">[1]G!$AQ$10</definedName>
    <definedName name="PrimeroH">[1]H!$AQ$10</definedName>
    <definedName name="PrimeroI">[1]I!$AQ$10</definedName>
    <definedName name="PrimeroJ">[1]J!$AQ$10</definedName>
    <definedName name="PrimeroK">[1]K!$AQ$10</definedName>
    <definedName name="PrimeroL">[1]L!$AQ$10</definedName>
    <definedName name="SD">[1]UTC!$X$3</definedName>
    <definedName name="SegundoA">[1]A!$AQ$15</definedName>
    <definedName name="SegundoB">[1]B!$AQ$15</definedName>
    <definedName name="SegundoC">[1]C!$AQ$15</definedName>
    <definedName name="SegundoD">[1]D!$AQ$15</definedName>
    <definedName name="SegundoE">[1]E!$AQ$15</definedName>
    <definedName name="SegundoF">[1]F!$AQ$15</definedName>
    <definedName name="SegundoG">[1]G!$AQ$15</definedName>
    <definedName name="SegundoH">[1]H!$AQ$15</definedName>
    <definedName name="SegundoI">[1]I!$AQ$15</definedName>
    <definedName name="SegundoJ">[1]J!$AQ$15</definedName>
    <definedName name="SegundoK">[1]K!$AQ$15</definedName>
    <definedName name="SegundoL">[1]L!$AQ$15</definedName>
    <definedName name="TerceroA">[1]A!$AQ$20</definedName>
    <definedName name="TerceroB">[1]B!$AQ$20</definedName>
    <definedName name="TerceroC">[1]C!$AQ$20</definedName>
    <definedName name="TerceroD">[1]D!$AQ$20</definedName>
    <definedName name="TerceroE">[1]E!$AQ$20</definedName>
    <definedName name="TerceroF">[1]F!$AQ$20</definedName>
    <definedName name="TerceroG">[1]G!$AQ$20</definedName>
    <definedName name="TerceroH">[1]H!$AQ$20</definedName>
    <definedName name="TerceroI">[1]I!$AQ$20</definedName>
    <definedName name="TerceroJ">[1]J!$AQ$20</definedName>
    <definedName name="TerceroK">[1]K!$AQ$20</definedName>
    <definedName name="TerceroL">[1]L!$AQ$20</definedName>
    <definedName name="Terceros">[1]Recursos!$AD$5:$AD$16</definedName>
    <definedName name="UTCElegido">[1]UTC!$C$3</definedName>
    <definedName name="vcp">[1]Portada!$XFD$1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4IwLSqWEJlHvQbk4cJgB5jZLNaUJSTpVGl9cxITx2BY="/>
    </ext>
  </extLst>
</workbook>
</file>

<file path=xl/calcChain.xml><?xml version="1.0" encoding="utf-8"?>
<calcChain xmlns="http://schemas.openxmlformats.org/spreadsheetml/2006/main">
  <c r="C17" i="2" l="1"/>
  <c r="BJ332" i="1"/>
  <c r="BJ155" i="1"/>
  <c r="AQ432" i="1"/>
  <c r="AQ427" i="1"/>
  <c r="AQ422" i="1"/>
  <c r="AQ417" i="1"/>
  <c r="AQ412" i="1"/>
  <c r="AQ407" i="1"/>
  <c r="AQ404" i="1"/>
  <c r="AQ396" i="1"/>
  <c r="AQ391" i="1"/>
  <c r="AQ386" i="1"/>
  <c r="AQ381" i="1"/>
  <c r="AQ376" i="1"/>
  <c r="AQ371" i="1"/>
  <c r="AQ368" i="1"/>
  <c r="AQ360" i="1"/>
  <c r="AQ355" i="1"/>
  <c r="AQ350" i="1"/>
  <c r="AQ345" i="1"/>
  <c r="AQ340" i="1"/>
  <c r="AQ335" i="1"/>
  <c r="AQ332" i="1"/>
  <c r="AQ324" i="1"/>
  <c r="AQ319" i="1"/>
  <c r="AQ314" i="1"/>
  <c r="AQ309" i="1"/>
  <c r="AQ304" i="1"/>
  <c r="AQ299" i="1"/>
  <c r="AQ296" i="1"/>
  <c r="AQ288" i="1"/>
  <c r="AQ283" i="1"/>
  <c r="AQ278" i="1"/>
  <c r="AQ273" i="1"/>
  <c r="AQ268" i="1"/>
  <c r="AQ263" i="1"/>
  <c r="AQ260" i="1"/>
  <c r="AQ252" i="1"/>
  <c r="AQ247" i="1"/>
  <c r="AQ242" i="1"/>
  <c r="AQ237" i="1"/>
  <c r="AQ232" i="1"/>
  <c r="AQ227" i="1"/>
  <c r="AQ224" i="1"/>
  <c r="AQ216" i="1"/>
  <c r="AQ211" i="1"/>
  <c r="AQ206" i="1"/>
  <c r="AQ201" i="1"/>
  <c r="AQ196" i="1"/>
  <c r="AQ191" i="1"/>
  <c r="AQ188" i="1"/>
  <c r="AQ180" i="1"/>
  <c r="AQ175" i="1"/>
  <c r="AQ170" i="1"/>
  <c r="AQ165" i="1"/>
  <c r="AQ160" i="1"/>
  <c r="AQ155" i="1"/>
  <c r="AQ152" i="1"/>
  <c r="AQ144" i="1"/>
  <c r="AQ139" i="1"/>
  <c r="AQ134" i="1"/>
  <c r="AQ129" i="1"/>
  <c r="AQ124" i="1"/>
  <c r="AQ119" i="1"/>
  <c r="AQ116" i="1"/>
  <c r="AQ108" i="1"/>
  <c r="AQ103" i="1"/>
  <c r="AQ98" i="1"/>
  <c r="AQ93" i="1"/>
  <c r="AQ88" i="1"/>
  <c r="AQ83" i="1"/>
  <c r="AQ80" i="1"/>
  <c r="AQ72" i="1"/>
  <c r="AQ67" i="1"/>
  <c r="AQ62" i="1"/>
  <c r="AQ57" i="1"/>
  <c r="AQ52" i="1"/>
  <c r="AQ47" i="1"/>
  <c r="AQ44" i="1"/>
  <c r="AQ36" i="1"/>
  <c r="AQ31" i="1"/>
  <c r="AQ26" i="1"/>
  <c r="AQ21" i="1"/>
  <c r="AQ16" i="1"/>
  <c r="AQ11" i="1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6" i="2"/>
  <c r="C15" i="2"/>
  <c r="C14" i="2"/>
  <c r="C13" i="2"/>
  <c r="C12" i="2"/>
  <c r="C11" i="2"/>
  <c r="C10" i="2"/>
  <c r="C9" i="2"/>
  <c r="C8" i="2"/>
  <c r="C7" i="2"/>
  <c r="C6" i="2"/>
  <c r="D5" i="2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S116" i="1"/>
  <c r="AR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Q435" i="1" l="1"/>
  <c r="D45" i="2" s="1"/>
  <c r="AD435" i="1"/>
  <c r="D32" i="2" s="1"/>
  <c r="AO435" i="1"/>
  <c r="D43" i="2" s="1"/>
  <c r="H435" i="1"/>
  <c r="D10" i="2" s="1"/>
  <c r="S435" i="1"/>
  <c r="D21" i="2" s="1"/>
  <c r="AW435" i="1"/>
  <c r="D51" i="2" s="1"/>
  <c r="BI435" i="1"/>
  <c r="D63" i="2" s="1"/>
  <c r="AB435" i="1"/>
  <c r="D30" i="2" s="1"/>
  <c r="AT435" i="1"/>
  <c r="D48" i="2" s="1"/>
  <c r="F435" i="1"/>
  <c r="D8" i="2" s="1"/>
  <c r="Q435" i="1"/>
  <c r="D19" i="2" s="1"/>
  <c r="AM435" i="1"/>
  <c r="D41" i="2" s="1"/>
  <c r="AU435" i="1"/>
  <c r="D49" i="2" s="1"/>
  <c r="BG435" i="1"/>
  <c r="D61" i="2" s="1"/>
  <c r="AL435" i="1"/>
  <c r="D40" i="2" s="1"/>
  <c r="BF435" i="1"/>
  <c r="D60" i="2" s="1"/>
  <c r="G435" i="1"/>
  <c r="D9" i="2" s="1"/>
  <c r="R435" i="1"/>
  <c r="D20" i="2" s="1"/>
  <c r="AC435" i="1"/>
  <c r="D31" i="2" s="1"/>
  <c r="AN435" i="1"/>
  <c r="D42" i="2" s="1"/>
  <c r="AV435" i="1"/>
  <c r="D50" i="2" s="1"/>
  <c r="BH435" i="1"/>
  <c r="D62" i="2" s="1"/>
  <c r="T435" i="1"/>
  <c r="D22" i="2" s="1"/>
  <c r="AX435" i="1"/>
  <c r="D52" i="2" s="1"/>
  <c r="I435" i="1"/>
  <c r="D11" i="2" s="1"/>
  <c r="BJ435" i="1"/>
  <c r="D64" i="2" s="1"/>
  <c r="J435" i="1"/>
  <c r="D12" i="2" s="1"/>
  <c r="U435" i="1"/>
  <c r="D23" i="2" s="1"/>
  <c r="O435" i="1"/>
  <c r="D17" i="2" s="1"/>
  <c r="Z435" i="1"/>
  <c r="D28" i="2" s="1"/>
  <c r="AS435" i="1"/>
  <c r="D47" i="2" s="1"/>
  <c r="BD435" i="1"/>
  <c r="D58" i="2" s="1"/>
  <c r="AY435" i="1"/>
  <c r="D53" i="2" s="1"/>
  <c r="D435" i="1"/>
  <c r="D6" i="2" s="1"/>
  <c r="AJ435" i="1"/>
  <c r="D38" i="2" s="1"/>
  <c r="E435" i="1"/>
  <c r="D7" i="2" s="1"/>
  <c r="P435" i="1"/>
  <c r="D18" i="2" s="1"/>
  <c r="AA435" i="1"/>
  <c r="D29" i="2" s="1"/>
  <c r="AK435" i="1"/>
  <c r="D39" i="2" s="1"/>
  <c r="BE435" i="1"/>
  <c r="D59" i="2" s="1"/>
  <c r="L435" i="1"/>
  <c r="D14" i="2" s="1"/>
  <c r="W435" i="1"/>
  <c r="D25" i="2" s="1"/>
  <c r="AF435" i="1"/>
  <c r="D34" i="2" s="1"/>
  <c r="AZ435" i="1"/>
  <c r="D54" i="2" s="1"/>
  <c r="K435" i="1"/>
  <c r="D13" i="2" s="1"/>
  <c r="V435" i="1"/>
  <c r="D24" i="2" s="1"/>
  <c r="X435" i="1"/>
  <c r="D26" i="2" s="1"/>
  <c r="AG435" i="1"/>
  <c r="D35" i="2" s="1"/>
  <c r="BA435" i="1"/>
  <c r="D55" i="2" s="1"/>
  <c r="AP435" i="1"/>
  <c r="D44" i="2" s="1"/>
  <c r="M435" i="1"/>
  <c r="D15" i="2" s="1"/>
  <c r="N435" i="1"/>
  <c r="D16" i="2" s="1"/>
  <c r="AH435" i="1"/>
  <c r="D36" i="2" s="1"/>
  <c r="BB435" i="1"/>
  <c r="D56" i="2" s="1"/>
  <c r="AE435" i="1"/>
  <c r="D33" i="2" s="1"/>
  <c r="Y435" i="1"/>
  <c r="D27" i="2" s="1"/>
  <c r="AI435" i="1"/>
  <c r="D37" i="2" s="1"/>
  <c r="AR435" i="1"/>
  <c r="D46" i="2" s="1"/>
  <c r="BC435" i="1"/>
  <c r="D57" i="2" s="1"/>
  <c r="E16" i="2" l="1"/>
  <c r="E39" i="2"/>
  <c r="E59" i="2"/>
  <c r="E12" i="2"/>
  <c r="E15" i="2"/>
  <c r="E40" i="2"/>
  <c r="E43" i="2"/>
  <c r="E35" i="2"/>
  <c r="E26" i="2"/>
  <c r="E22" i="2"/>
  <c r="E24" i="2"/>
  <c r="E62" i="2"/>
  <c r="E8" i="2"/>
  <c r="E44" i="2"/>
  <c r="E41" i="2"/>
  <c r="E6" i="2"/>
  <c r="E55" i="2"/>
  <c r="E52" i="2"/>
  <c r="E13" i="2"/>
  <c r="E11" i="2"/>
  <c r="E57" i="2"/>
  <c r="E37" i="2"/>
  <c r="E29" i="2"/>
  <c r="E7" i="2"/>
  <c r="E38" i="2"/>
  <c r="E19" i="2"/>
  <c r="E46" i="2"/>
  <c r="E53" i="2"/>
  <c r="E50" i="2"/>
  <c r="E48" i="2"/>
  <c r="E27" i="2"/>
  <c r="E54" i="2"/>
  <c r="E58" i="2"/>
  <c r="E42" i="2"/>
  <c r="E30" i="2"/>
  <c r="E33" i="2"/>
  <c r="E34" i="2"/>
  <c r="E47" i="2"/>
  <c r="E31" i="2"/>
  <c r="E63" i="2"/>
  <c r="E56" i="2"/>
  <c r="E25" i="2"/>
  <c r="E28" i="2"/>
  <c r="E20" i="2"/>
  <c r="E51" i="2"/>
  <c r="E36" i="2"/>
  <c r="E14" i="2"/>
  <c r="E17" i="2"/>
  <c r="E9" i="2"/>
  <c r="E21" i="2"/>
  <c r="E23" i="2"/>
  <c r="E60" i="2"/>
  <c r="E10" i="2"/>
  <c r="E64" i="2"/>
  <c r="E61" i="2"/>
  <c r="E32" i="2"/>
  <c r="E18" i="2"/>
  <c r="E49" i="2"/>
  <c r="E45" i="2"/>
  <c r="G29" i="2" l="1"/>
  <c r="K29" i="2" s="1" a="1"/>
  <c r="K29" i="2" s="1"/>
  <c r="G21" i="2"/>
  <c r="H63" i="2"/>
  <c r="G57" i="2"/>
  <c r="H53" i="2"/>
  <c r="H48" i="2"/>
  <c r="H20" i="2"/>
  <c r="H62" i="2"/>
  <c r="G18" i="2"/>
  <c r="L18" i="2" s="1" a="1"/>
  <c r="L18" i="2" s="1"/>
  <c r="G25" i="2"/>
  <c r="G9" i="2"/>
  <c r="H15" i="2"/>
  <c r="G56" i="2"/>
  <c r="K56" i="2" s="1" a="1"/>
  <c r="K56" i="2" s="1"/>
  <c r="G6" i="2"/>
  <c r="G58" i="2"/>
  <c r="I58" i="2" s="1" a="1"/>
  <c r="I58" i="2" s="1"/>
  <c r="H8" i="2"/>
  <c r="H26" i="2"/>
  <c r="G63" i="2"/>
  <c r="H54" i="2"/>
  <c r="H38" i="2"/>
  <c r="H58" i="2"/>
  <c r="G13" i="2"/>
  <c r="G44" i="2"/>
  <c r="K44" i="2" s="1" a="1"/>
  <c r="K44" i="2" s="1"/>
  <c r="G15" i="2"/>
  <c r="I15" i="2" s="1" a="1"/>
  <c r="I15" i="2" s="1"/>
  <c r="G34" i="2"/>
  <c r="H18" i="2"/>
  <c r="G36" i="2"/>
  <c r="H55" i="2"/>
  <c r="G48" i="2"/>
  <c r="L48" i="2" s="1" a="1"/>
  <c r="L48" i="2" s="1"/>
  <c r="H42" i="2"/>
  <c r="H46" i="2"/>
  <c r="H14" i="2"/>
  <c r="G32" i="2"/>
  <c r="H16" i="2"/>
  <c r="H47" i="2"/>
  <c r="G16" i="2"/>
  <c r="K16" i="2" s="1" a="1"/>
  <c r="K16" i="2" s="1"/>
  <c r="H49" i="2"/>
  <c r="H43" i="2"/>
  <c r="H7" i="2"/>
  <c r="H61" i="2"/>
  <c r="H34" i="2"/>
  <c r="G24" i="2"/>
  <c r="G20" i="2"/>
  <c r="G26" i="2"/>
  <c r="K26" i="2" s="1" a="1"/>
  <c r="K26" i="2" s="1"/>
  <c r="G55" i="2"/>
  <c r="L55" i="2" s="1" a="1"/>
  <c r="L55" i="2" s="1"/>
  <c r="H41" i="2"/>
  <c r="G59" i="2"/>
  <c r="K59" i="2" s="1" a="1"/>
  <c r="K59" i="2" s="1"/>
  <c r="H31" i="2"/>
  <c r="H60" i="2"/>
  <c r="H30" i="2"/>
  <c r="H13" i="2"/>
  <c r="H22" i="2"/>
  <c r="H25" i="2"/>
  <c r="G8" i="2"/>
  <c r="H39" i="2"/>
  <c r="G43" i="2"/>
  <c r="K43" i="2" s="1" a="1"/>
  <c r="K43" i="2" s="1"/>
  <c r="G51" i="2"/>
  <c r="L51" i="2" s="1" a="1"/>
  <c r="L51" i="2" s="1"/>
  <c r="G11" i="2"/>
  <c r="H19" i="2"/>
  <c r="H24" i="2"/>
  <c r="H6" i="2"/>
  <c r="G23" i="2"/>
  <c r="K23" i="2" s="1" a="1"/>
  <c r="K23" i="2" s="1"/>
  <c r="H10" i="2"/>
  <c r="G35" i="2"/>
  <c r="K35" i="2" s="1" a="1"/>
  <c r="K35" i="2" s="1"/>
  <c r="H57" i="2"/>
  <c r="G37" i="2"/>
  <c r="G31" i="2"/>
  <c r="H64" i="2"/>
  <c r="H12" i="2"/>
  <c r="G28" i="2"/>
  <c r="H17" i="2"/>
  <c r="H45" i="2"/>
  <c r="H50" i="2"/>
  <c r="G19" i="2"/>
  <c r="H40" i="2"/>
  <c r="G10" i="2"/>
  <c r="L10" i="2" s="1" a="1"/>
  <c r="L10" i="2" s="1"/>
  <c r="G27" i="2"/>
  <c r="L27" i="2" s="1" a="1"/>
  <c r="L27" i="2" s="1"/>
  <c r="G22" i="2"/>
  <c r="K22" i="2" s="1" a="1"/>
  <c r="K22" i="2" s="1"/>
  <c r="H29" i="2"/>
  <c r="H36" i="2"/>
  <c r="H33" i="2"/>
  <c r="G60" i="2"/>
  <c r="G7" i="2"/>
  <c r="G50" i="2"/>
  <c r="I50" i="2" s="1" a="1"/>
  <c r="I50" i="2" s="1"/>
  <c r="H11" i="2"/>
  <c r="H23" i="2"/>
  <c r="H28" i="2"/>
  <c r="G39" i="2"/>
  <c r="K39" i="2" s="1" a="1"/>
  <c r="K39" i="2" s="1"/>
  <c r="G46" i="2"/>
  <c r="H21" i="2"/>
  <c r="G12" i="2"/>
  <c r="H56" i="2"/>
  <c r="G14" i="2"/>
  <c r="G54" i="2"/>
  <c r="K54" i="2" s="1" a="1"/>
  <c r="K54" i="2" s="1"/>
  <c r="G38" i="2"/>
  <c r="K38" i="2" s="1" a="1"/>
  <c r="K38" i="2" s="1"/>
  <c r="G45" i="2"/>
  <c r="K45" i="2" s="1" a="1"/>
  <c r="K45" i="2" s="1"/>
  <c r="H52" i="2"/>
  <c r="H59" i="2"/>
  <c r="H9" i="2"/>
  <c r="H37" i="2"/>
  <c r="H44" i="2"/>
  <c r="H27" i="2"/>
  <c r="G42" i="2"/>
  <c r="L42" i="2" s="1" a="1"/>
  <c r="L42" i="2" s="1"/>
  <c r="H51" i="2"/>
  <c r="G33" i="2"/>
  <c r="G64" i="2"/>
  <c r="H35" i="2"/>
  <c r="G52" i="2"/>
  <c r="J52" i="2" s="1" a="1"/>
  <c r="J52" i="2" s="1"/>
  <c r="G47" i="2"/>
  <c r="H32" i="2"/>
  <c r="G49" i="2"/>
  <c r="K49" i="2" s="1" a="1"/>
  <c r="K49" i="2" s="1"/>
  <c r="G30" i="2"/>
  <c r="J30" i="2" s="1" a="1"/>
  <c r="J30" i="2" s="1"/>
  <c r="G61" i="2"/>
  <c r="L61" i="2" s="1" a="1"/>
  <c r="L61" i="2" s="1"/>
  <c r="G62" i="2"/>
  <c r="G53" i="2"/>
  <c r="G40" i="2"/>
  <c r="L40" i="2" s="1" a="1"/>
  <c r="L40" i="2" s="1"/>
  <c r="G17" i="2"/>
  <c r="K17" i="2" s="1" a="1"/>
  <c r="K17" i="2" s="1"/>
  <c r="G41" i="2"/>
  <c r="K41" i="2" s="1" a="1"/>
  <c r="K41" i="2" s="1"/>
  <c r="L38" i="2" a="1"/>
  <c r="L38" i="2" s="1"/>
  <c r="K48" i="2" a="1"/>
  <c r="K48" i="2" s="1"/>
  <c r="K61" i="2" a="1"/>
  <c r="K61" i="2" s="1"/>
  <c r="L29" i="2" a="1"/>
  <c r="L29" i="2" s="1"/>
  <c r="L23" i="2" a="1"/>
  <c r="L23" i="2" s="1"/>
  <c r="L24" i="2" a="1"/>
  <c r="L24" i="2" s="1"/>
  <c r="K24" i="2" a="1"/>
  <c r="K24" i="2" s="1"/>
  <c r="L19" i="2" a="1"/>
  <c r="L19" i="2" s="1"/>
  <c r="K19" i="2" a="1"/>
  <c r="K19" i="2" s="1"/>
  <c r="L32" i="2" a="1"/>
  <c r="L32" i="2" s="1"/>
  <c r="K32" i="2" a="1"/>
  <c r="K32" i="2" s="1"/>
  <c r="L25" i="2" a="1"/>
  <c r="L25" i="2" s="1"/>
  <c r="K25" i="2" a="1"/>
  <c r="K25" i="2" s="1"/>
  <c r="L22" i="2" a="1"/>
  <c r="L22" i="2" s="1"/>
  <c r="L9" i="2" a="1"/>
  <c r="L9" i="2" s="1"/>
  <c r="K9" i="2" a="1"/>
  <c r="K9" i="2" s="1"/>
  <c r="K55" i="2" a="1"/>
  <c r="K55" i="2" s="1"/>
  <c r="L36" i="2" a="1"/>
  <c r="L36" i="2" s="1"/>
  <c r="K36" i="2" a="1"/>
  <c r="K36" i="2" s="1"/>
  <c r="K60" i="2" a="1"/>
  <c r="K60" i="2" s="1"/>
  <c r="L60" i="2" a="1"/>
  <c r="L60" i="2" s="1"/>
  <c r="L21" i="2" a="1"/>
  <c r="L21" i="2" s="1"/>
  <c r="K21" i="2" a="1"/>
  <c r="K21" i="2" s="1"/>
  <c r="K28" i="2" a="1"/>
  <c r="K28" i="2" s="1"/>
  <c r="L28" i="2" a="1"/>
  <c r="L28" i="2" s="1"/>
  <c r="L13" i="2" a="1"/>
  <c r="L13" i="2" s="1"/>
  <c r="K13" i="2" a="1"/>
  <c r="K13" i="2" s="1"/>
  <c r="L31" i="2" a="1"/>
  <c r="L31" i="2" s="1"/>
  <c r="K31" i="2" a="1"/>
  <c r="K31" i="2" s="1"/>
  <c r="K57" i="2" a="1"/>
  <c r="K57" i="2" s="1"/>
  <c r="L57" i="2" a="1"/>
  <c r="L57" i="2" s="1"/>
  <c r="K46" i="2" a="1"/>
  <c r="K46" i="2" s="1"/>
  <c r="L46" i="2" a="1"/>
  <c r="L46" i="2" s="1"/>
  <c r="K8" i="2" a="1"/>
  <c r="K8" i="2" s="1"/>
  <c r="L8" i="2" a="1"/>
  <c r="L8" i="2" s="1"/>
  <c r="L12" i="2" a="1"/>
  <c r="L12" i="2" s="1"/>
  <c r="K12" i="2" a="1"/>
  <c r="K12" i="2" s="1"/>
  <c r="K7" i="2" a="1"/>
  <c r="K7" i="2" s="1"/>
  <c r="L7" i="2" a="1"/>
  <c r="L7" i="2" s="1"/>
  <c r="L14" i="2" a="1"/>
  <c r="L14" i="2" s="1"/>
  <c r="K14" i="2" a="1"/>
  <c r="K14" i="2" s="1"/>
  <c r="K64" i="2" a="1"/>
  <c r="K64" i="2" s="1"/>
  <c r="L64" i="2" a="1"/>
  <c r="L64" i="2" s="1"/>
  <c r="K40" i="2" a="1"/>
  <c r="K40" i="2" s="1"/>
  <c r="L34" i="2" a="1"/>
  <c r="L34" i="2" s="1"/>
  <c r="K34" i="2" a="1"/>
  <c r="K34" i="2" s="1"/>
  <c r="K62" i="2" a="1"/>
  <c r="K62" i="2" s="1"/>
  <c r="L62" i="2" a="1"/>
  <c r="L62" i="2" s="1"/>
  <c r="L33" i="2" a="1"/>
  <c r="L33" i="2" s="1"/>
  <c r="K33" i="2" a="1"/>
  <c r="K33" i="2" s="1"/>
  <c r="K53" i="2" a="1"/>
  <c r="K53" i="2" s="1"/>
  <c r="L53" i="2" a="1"/>
  <c r="L53" i="2" s="1"/>
  <c r="L11" i="2" a="1"/>
  <c r="L11" i="2" s="1"/>
  <c r="K11" i="2" a="1"/>
  <c r="K11" i="2" s="1"/>
  <c r="L20" i="2" a="1"/>
  <c r="L20" i="2" s="1"/>
  <c r="K20" i="2" a="1"/>
  <c r="K20" i="2" s="1"/>
  <c r="L37" i="2" a="1"/>
  <c r="L37" i="2" s="1"/>
  <c r="K37" i="2" a="1"/>
  <c r="K37" i="2" s="1"/>
  <c r="K10" i="2" a="1"/>
  <c r="K10" i="2" s="1"/>
  <c r="K47" i="2" a="1"/>
  <c r="K47" i="2" s="1"/>
  <c r="L47" i="2" a="1"/>
  <c r="L47" i="2" s="1"/>
  <c r="L63" i="2" a="1"/>
  <c r="L63" i="2" s="1"/>
  <c r="K63" i="2" a="1"/>
  <c r="K63" i="2" s="1"/>
  <c r="I27" i="2" a="1"/>
  <c r="I27" i="2" s="1"/>
  <c r="J27" i="2" a="1"/>
  <c r="J27" i="2" s="1"/>
  <c r="J19" i="2" a="1"/>
  <c r="J19" i="2" s="1"/>
  <c r="I19" i="2" a="1"/>
  <c r="I19" i="2" s="1"/>
  <c r="J32" i="2" a="1"/>
  <c r="J32" i="2" s="1"/>
  <c r="I32" i="2" a="1"/>
  <c r="I32" i="2" s="1"/>
  <c r="J25" i="2" a="1"/>
  <c r="J25" i="2" s="1"/>
  <c r="I25" i="2" a="1"/>
  <c r="I25" i="2" s="1"/>
  <c r="J56" i="2" a="1"/>
  <c r="J56" i="2" s="1"/>
  <c r="I56" i="2" a="1"/>
  <c r="I56" i="2" s="1"/>
  <c r="J26" i="2" a="1"/>
  <c r="J26" i="2" s="1"/>
  <c r="J22" i="2" a="1"/>
  <c r="J22" i="2" s="1"/>
  <c r="I22" i="2" a="1"/>
  <c r="I22" i="2" s="1"/>
  <c r="J41" i="2" a="1"/>
  <c r="J41" i="2" s="1"/>
  <c r="I41" i="2" a="1"/>
  <c r="I41" i="2" s="1"/>
  <c r="J51" i="2" a="1"/>
  <c r="J51" i="2" s="1"/>
  <c r="I51" i="2" a="1"/>
  <c r="I51" i="2" s="1"/>
  <c r="J9" i="2" a="1"/>
  <c r="J9" i="2" s="1"/>
  <c r="I9" i="2" a="1"/>
  <c r="I9" i="2" s="1"/>
  <c r="J55" i="2" a="1"/>
  <c r="J55" i="2" s="1"/>
  <c r="I55" i="2" a="1"/>
  <c r="I55" i="2" s="1"/>
  <c r="J23" i="2" a="1"/>
  <c r="J23" i="2" s="1"/>
  <c r="I23" i="2" a="1"/>
  <c r="I23" i="2" s="1"/>
  <c r="J24" i="2" a="1"/>
  <c r="J24" i="2" s="1"/>
  <c r="I24" i="2" a="1"/>
  <c r="I24" i="2" s="1"/>
  <c r="J36" i="2" a="1"/>
  <c r="J36" i="2" s="1"/>
  <c r="I36" i="2" a="1"/>
  <c r="I36" i="2" s="1"/>
  <c r="J21" i="2" a="1"/>
  <c r="J21" i="2" s="1"/>
  <c r="I21" i="2" a="1"/>
  <c r="I21" i="2" s="1"/>
  <c r="J31" i="2" a="1"/>
  <c r="J31" i="2" s="1"/>
  <c r="I31" i="2" a="1"/>
  <c r="I31" i="2" s="1"/>
  <c r="J57" i="2" a="1"/>
  <c r="J57" i="2" s="1"/>
  <c r="I57" i="2" a="1"/>
  <c r="I57" i="2" s="1"/>
  <c r="J8" i="2" a="1"/>
  <c r="J8" i="2" s="1"/>
  <c r="I8" i="2" a="1"/>
  <c r="I8" i="2" s="1"/>
  <c r="J7" i="2" a="1"/>
  <c r="J7" i="2" s="1"/>
  <c r="I7" i="2" a="1"/>
  <c r="I7" i="2" s="1"/>
  <c r="J14" i="2" a="1"/>
  <c r="J14" i="2" s="1"/>
  <c r="I14" i="2" a="1"/>
  <c r="I14" i="2" s="1"/>
  <c r="J64" i="2" a="1"/>
  <c r="J64" i="2" s="1"/>
  <c r="I64" i="2" a="1"/>
  <c r="I64" i="2" s="1"/>
  <c r="J47" i="2" a="1"/>
  <c r="J47" i="2" s="1"/>
  <c r="I47" i="2" a="1"/>
  <c r="I47" i="2" s="1"/>
  <c r="J34" i="2" a="1"/>
  <c r="J34" i="2" s="1"/>
  <c r="I34" i="2" a="1"/>
  <c r="I34" i="2" s="1"/>
  <c r="I62" i="2" a="1"/>
  <c r="I62" i="2" s="1"/>
  <c r="J62" i="2" a="1"/>
  <c r="J62" i="2" s="1"/>
  <c r="J54" i="2" a="1"/>
  <c r="J54" i="2" s="1"/>
  <c r="I54" i="2" a="1"/>
  <c r="I54" i="2" s="1"/>
  <c r="J33" i="2" a="1"/>
  <c r="J33" i="2" s="1"/>
  <c r="I33" i="2" a="1"/>
  <c r="I33" i="2" s="1"/>
  <c r="J53" i="2" a="1"/>
  <c r="J53" i="2" s="1"/>
  <c r="I53" i="2" a="1"/>
  <c r="I53" i="2" s="1"/>
  <c r="J11" i="2" a="1"/>
  <c r="J11" i="2" s="1"/>
  <c r="I11" i="2" a="1"/>
  <c r="I11" i="2" s="1"/>
  <c r="J20" i="2" a="1"/>
  <c r="J20" i="2" s="1"/>
  <c r="I20" i="2" a="1"/>
  <c r="I20" i="2" s="1"/>
  <c r="I60" i="2" a="1"/>
  <c r="I60" i="2" s="1"/>
  <c r="J60" i="2" a="1"/>
  <c r="J60" i="2" s="1"/>
  <c r="J28" i="2" a="1"/>
  <c r="J28" i="2" s="1"/>
  <c r="I28" i="2" a="1"/>
  <c r="I28" i="2" s="1"/>
  <c r="J13" i="2" a="1"/>
  <c r="J13" i="2" s="1"/>
  <c r="I13" i="2" a="1"/>
  <c r="I13" i="2" s="1"/>
  <c r="J46" i="2" a="1"/>
  <c r="J46" i="2" s="1"/>
  <c r="I46" i="2" a="1"/>
  <c r="I46" i="2" s="1"/>
  <c r="I17" i="2" a="1"/>
  <c r="I17" i="2" s="1"/>
  <c r="J17" i="2" a="1"/>
  <c r="J17" i="2" s="1"/>
  <c r="J12" i="2" a="1"/>
  <c r="J12" i="2" s="1"/>
  <c r="I12" i="2" a="1"/>
  <c r="I12" i="2" s="1"/>
  <c r="J40" i="2" a="1"/>
  <c r="J40" i="2" s="1"/>
  <c r="I40" i="2" a="1"/>
  <c r="I40" i="2" s="1"/>
  <c r="J63" i="2" a="1"/>
  <c r="J63" i="2" s="1"/>
  <c r="I63" i="2" a="1"/>
  <c r="I63" i="2" s="1"/>
  <c r="J37" i="2" a="1"/>
  <c r="J37" i="2" s="1"/>
  <c r="I37" i="2" a="1"/>
  <c r="I37" i="2" s="1"/>
  <c r="J48" i="2" a="1"/>
  <c r="J48" i="2" s="1"/>
  <c r="I48" i="2" a="1"/>
  <c r="I48" i="2" s="1"/>
  <c r="J10" i="2" a="1"/>
  <c r="J10" i="2" s="1"/>
  <c r="I10" i="2" a="1"/>
  <c r="I10" i="2" s="1"/>
  <c r="J61" i="2" a="1"/>
  <c r="J61" i="2" s="1"/>
  <c r="I61" i="2" a="1"/>
  <c r="I61" i="2" s="1"/>
  <c r="J29" i="2" a="1"/>
  <c r="J29" i="2" s="1"/>
  <c r="I29" i="2" a="1"/>
  <c r="I29" i="2" s="1"/>
  <c r="J18" i="2" a="1"/>
  <c r="J18" i="2" s="1"/>
  <c r="I18" i="2" a="1"/>
  <c r="I18" i="2" s="1"/>
  <c r="K18" i="2" l="1" a="1"/>
  <c r="K18" i="2" s="1"/>
  <c r="K51" i="2" a="1"/>
  <c r="K51" i="2" s="1"/>
  <c r="L26" i="2" a="1"/>
  <c r="L26" i="2" s="1"/>
  <c r="I26" i="2" a="1"/>
  <c r="I26" i="2" s="1"/>
  <c r="J35" i="2" a="1"/>
  <c r="J35" i="2" s="1"/>
  <c r="L56" i="2" a="1"/>
  <c r="L56" i="2" s="1"/>
  <c r="M56" i="2" s="1"/>
  <c r="K27" i="2" a="1"/>
  <c r="K27" i="2" s="1"/>
  <c r="M27" i="2" s="1"/>
  <c r="L17" i="2" a="1"/>
  <c r="L17" i="2" s="1"/>
  <c r="I35" i="2" a="1"/>
  <c r="I35" i="2" s="1"/>
  <c r="J43" i="2" a="1"/>
  <c r="J43" i="2" s="1"/>
  <c r="I43" i="2" a="1"/>
  <c r="I43" i="2" s="1"/>
  <c r="I39" i="2" a="1"/>
  <c r="I39" i="2" s="1"/>
  <c r="L41" i="2" a="1"/>
  <c r="L41" i="2" s="1"/>
  <c r="I59" i="2" a="1"/>
  <c r="I59" i="2" s="1"/>
  <c r="K30" i="2" a="1"/>
  <c r="K30" i="2" s="1"/>
  <c r="I30" i="2" a="1"/>
  <c r="I30" i="2" s="1"/>
  <c r="J39" i="2" a="1"/>
  <c r="J39" i="2" s="1"/>
  <c r="L30" i="2" a="1"/>
  <c r="L30" i="2" s="1"/>
  <c r="I38" i="2" a="1"/>
  <c r="I38" i="2" s="1"/>
  <c r="J59" i="2" a="1"/>
  <c r="J59" i="2" s="1"/>
  <c r="J38" i="2" a="1"/>
  <c r="J38" i="2" s="1"/>
  <c r="J42" i="2" a="1"/>
  <c r="J42" i="2" s="1"/>
  <c r="I49" i="2" a="1"/>
  <c r="I49" i="2" s="1"/>
  <c r="J44" i="2" a="1"/>
  <c r="J44" i="2" s="1"/>
  <c r="J58" i="2" a="1"/>
  <c r="J58" i="2" s="1"/>
  <c r="J49" i="2" a="1"/>
  <c r="J49" i="2" s="1"/>
  <c r="I44" i="2" a="1"/>
  <c r="I44" i="2" s="1"/>
  <c r="L59" i="2" a="1"/>
  <c r="L59" i="2" s="1"/>
  <c r="L49" i="2" a="1"/>
  <c r="L49" i="2" s="1"/>
  <c r="L44" i="2" a="1"/>
  <c r="L44" i="2" s="1"/>
  <c r="L58" i="2" a="1"/>
  <c r="L58" i="2" s="1"/>
  <c r="K42" i="2" a="1"/>
  <c r="K42" i="2" s="1"/>
  <c r="K58" i="2" a="1"/>
  <c r="K58" i="2" s="1"/>
  <c r="I42" i="2" a="1"/>
  <c r="I42" i="2" s="1"/>
  <c r="L54" i="2" a="1"/>
  <c r="L54" i="2" s="1"/>
  <c r="M54" i="2" s="1"/>
  <c r="L35" i="2" a="1"/>
  <c r="L35" i="2" s="1"/>
  <c r="M35" i="2" s="1"/>
  <c r="L39" i="2" a="1"/>
  <c r="L39" i="2" s="1"/>
  <c r="L43" i="2" a="1"/>
  <c r="L43" i="2" s="1"/>
  <c r="M24" i="2"/>
  <c r="L15" i="2" a="1"/>
  <c r="L15" i="2" s="1"/>
  <c r="M31" i="2"/>
  <c r="K15" i="2" a="1"/>
  <c r="K15" i="2" s="1"/>
  <c r="M17" i="2"/>
  <c r="M19" i="2"/>
  <c r="M47" i="2"/>
  <c r="J15" i="2" a="1"/>
  <c r="J15" i="2" s="1"/>
  <c r="K50" i="2" a="1"/>
  <c r="K50" i="2" s="1"/>
  <c r="M41" i="2"/>
  <c r="L50" i="2" a="1"/>
  <c r="L50" i="2" s="1"/>
  <c r="M33" i="2"/>
  <c r="M12" i="2"/>
  <c r="I45" i="2" a="1"/>
  <c r="I45" i="2" s="1"/>
  <c r="J50" i="2" a="1"/>
  <c r="J50" i="2" s="1"/>
  <c r="J16" i="2" a="1"/>
  <c r="J16" i="2" s="1"/>
  <c r="M51" i="2"/>
  <c r="M36" i="2"/>
  <c r="M64" i="2"/>
  <c r="M14" i="2"/>
  <c r="M62" i="2"/>
  <c r="J45" i="2" a="1"/>
  <c r="J45" i="2" s="1"/>
  <c r="I16" i="2" a="1"/>
  <c r="I16" i="2" s="1"/>
  <c r="M29" i="2"/>
  <c r="M46" i="2"/>
  <c r="M20" i="2"/>
  <c r="L45" i="2" a="1"/>
  <c r="L45" i="2" s="1"/>
  <c r="L52" i="2" a="1"/>
  <c r="L52" i="2" s="1"/>
  <c r="M21" i="2"/>
  <c r="M48" i="2"/>
  <c r="K52" i="2" a="1"/>
  <c r="K52" i="2" s="1"/>
  <c r="M57" i="2"/>
  <c r="M25" i="2"/>
  <c r="M34" i="2"/>
  <c r="M26" i="2"/>
  <c r="M53" i="2"/>
  <c r="I52" i="2" a="1"/>
  <c r="I52" i="2" s="1"/>
  <c r="L16" i="2" a="1"/>
  <c r="L16" i="2" s="1"/>
  <c r="M37" i="2"/>
  <c r="M22" i="2"/>
  <c r="M61" i="2"/>
  <c r="M55" i="2"/>
  <c r="M8" i="2"/>
  <c r="M9" i="2"/>
  <c r="M28" i="2"/>
  <c r="M40" i="2"/>
  <c r="M10" i="2"/>
  <c r="M13" i="2"/>
  <c r="M7" i="2"/>
  <c r="M63" i="2"/>
  <c r="M32" i="2"/>
  <c r="M23" i="2"/>
  <c r="M18" i="2"/>
  <c r="L6" i="2" a="1"/>
  <c r="L6" i="2" s="1"/>
  <c r="J6" i="2" a="1"/>
  <c r="J6" i="2" s="1"/>
  <c r="K6" i="2" a="1"/>
  <c r="K6" i="2" s="1"/>
  <c r="I6" i="2" a="1"/>
  <c r="I6" i="2" s="1"/>
  <c r="M11" i="2"/>
  <c r="M60" i="2"/>
  <c r="M59" i="2" l="1"/>
  <c r="M43" i="2"/>
  <c r="M39" i="2"/>
  <c r="M38" i="2"/>
  <c r="M30" i="2"/>
  <c r="M44" i="2"/>
  <c r="M58" i="2"/>
  <c r="M42" i="2"/>
  <c r="M49" i="2"/>
  <c r="M6" i="2"/>
  <c r="M45" i="2"/>
  <c r="M52" i="2"/>
  <c r="M15" i="2"/>
  <c r="M50" i="2"/>
  <c r="M16" i="2"/>
  <c r="O38" i="2" l="1"/>
  <c r="O29" i="2"/>
  <c r="O60" i="2"/>
  <c r="O50" i="2"/>
  <c r="O25" i="2"/>
  <c r="O37" i="2"/>
  <c r="O9" i="2"/>
  <c r="O58" i="2"/>
  <c r="O64" i="2"/>
  <c r="O12" i="2"/>
  <c r="O16" i="2"/>
  <c r="O11" i="2"/>
  <c r="O55" i="2"/>
  <c r="O45" i="2"/>
  <c r="O18" i="2"/>
  <c r="O15" i="2"/>
  <c r="O32" i="2"/>
  <c r="O28" i="2"/>
  <c r="O6" i="2"/>
  <c r="O21" i="2"/>
  <c r="O46" i="2"/>
  <c r="O24" i="2"/>
  <c r="O59" i="2"/>
  <c r="O56" i="2"/>
  <c r="O40" i="2"/>
  <c r="O48" i="2"/>
  <c r="O39" i="2"/>
  <c r="O61" i="2"/>
  <c r="O57" i="2"/>
  <c r="O23" i="2"/>
  <c r="O36" i="2"/>
  <c r="O13" i="2"/>
  <c r="O47" i="2"/>
  <c r="O7" i="2"/>
  <c r="O8" i="2"/>
  <c r="O51" i="2"/>
  <c r="O19" i="2"/>
  <c r="O44" i="2"/>
  <c r="O31" i="2"/>
  <c r="O43" i="2"/>
  <c r="O54" i="2"/>
  <c r="O33" i="2"/>
  <c r="O63" i="2"/>
  <c r="O22" i="2"/>
  <c r="O35" i="2"/>
  <c r="O17" i="2"/>
  <c r="O41" i="2"/>
  <c r="O30" i="2"/>
  <c r="O20" i="2"/>
  <c r="O34" i="2"/>
  <c r="O14" i="2"/>
  <c r="O62" i="2"/>
  <c r="O49" i="2"/>
  <c r="O26" i="2"/>
  <c r="O27" i="2"/>
  <c r="O42" i="2"/>
  <c r="O53" i="2"/>
  <c r="O10" i="2"/>
  <c r="O52" i="2"/>
  <c r="P6" i="2" l="1"/>
  <c r="P10" i="2"/>
  <c r="P8" i="2"/>
  <c r="P13" i="2"/>
  <c r="P7" i="2"/>
  <c r="P11" i="2"/>
  <c r="P9" i="2"/>
  <c r="P62" i="2"/>
  <c r="P34" i="2"/>
  <c r="P47" i="2"/>
  <c r="P45" i="2"/>
  <c r="P63" i="2"/>
  <c r="P60" i="2"/>
  <c r="P51" i="2"/>
  <c r="P61" i="2"/>
  <c r="P14" i="2"/>
  <c r="P35" i="2"/>
  <c r="P28" i="2"/>
  <c r="P16" i="2"/>
  <c r="P43" i="2"/>
  <c r="P12" i="2"/>
  <c r="P31" i="2"/>
  <c r="P30" i="2"/>
  <c r="P52" i="2"/>
  <c r="P39" i="2"/>
  <c r="P36" i="2"/>
  <c r="P22" i="2"/>
  <c r="P21" i="2"/>
  <c r="P55" i="2"/>
  <c r="P38" i="2"/>
  <c r="P18" i="2"/>
  <c r="P23" i="2"/>
  <c r="P54" i="2"/>
  <c r="P15" i="2"/>
  <c r="P27" i="2"/>
  <c r="P42" i="2"/>
  <c r="P32" i="2"/>
  <c r="P44" i="2"/>
  <c r="P59" i="2"/>
  <c r="P17" i="2"/>
  <c r="P24" i="2"/>
  <c r="P29" i="2"/>
  <c r="P40" i="2"/>
  <c r="P46" i="2"/>
  <c r="P41" i="2"/>
  <c r="P64" i="2"/>
  <c r="P20" i="2"/>
  <c r="P49" i="2"/>
  <c r="P57" i="2"/>
  <c r="P58" i="2"/>
  <c r="P26" i="2"/>
  <c r="P53" i="2"/>
  <c r="P19" i="2"/>
  <c r="P50" i="2"/>
  <c r="P33" i="2"/>
  <c r="P56" i="2"/>
  <c r="P25" i="2"/>
  <c r="P37" i="2"/>
  <c r="P48" i="2"/>
</calcChain>
</file>

<file path=xl/sharedStrings.xml><?xml version="1.0" encoding="utf-8"?>
<sst xmlns="http://schemas.openxmlformats.org/spreadsheetml/2006/main" count="330" uniqueCount="144">
  <si>
    <t>POLLA MUNDIALISTA 2026</t>
  </si>
  <si>
    <t>PRIMERA FASE - GRUPOS</t>
  </si>
  <si>
    <t>GRUPO A:  MEXICO, SUDAFRICA, COREA DEL SUR, REPUBLICA CHECA</t>
  </si>
  <si>
    <t>EQUIPO</t>
  </si>
  <si>
    <t>MARCADOR</t>
  </si>
  <si>
    <t>Julian Uribe</t>
  </si>
  <si>
    <t>Yulian Sanchez</t>
  </si>
  <si>
    <t>Francisco Moreno</t>
  </si>
  <si>
    <t>Mauricio Guerrero</t>
  </si>
  <si>
    <t>Gustavo Guerrero</t>
  </si>
  <si>
    <t>Gerardo Martinez</t>
  </si>
  <si>
    <t>Nora Perez</t>
  </si>
  <si>
    <t>Laura Rodriguez</t>
  </si>
  <si>
    <t>Jhoana Moreno</t>
  </si>
  <si>
    <t xml:space="preserve">Yoselin Salinas </t>
  </si>
  <si>
    <t>Luis Diaz</t>
  </si>
  <si>
    <t>Diela del Carmen</t>
  </si>
  <si>
    <t>Paola Agredo</t>
  </si>
  <si>
    <t>Oscar Suarez</t>
  </si>
  <si>
    <t>Paulo Figueroa</t>
  </si>
  <si>
    <t xml:space="preserve">Jean Piere </t>
  </si>
  <si>
    <t>David Diaz</t>
  </si>
  <si>
    <t xml:space="preserve">Christian Giraldo </t>
  </si>
  <si>
    <t>Viviana Hurtado</t>
  </si>
  <si>
    <t>James Chavez Ocampo</t>
  </si>
  <si>
    <t>Luis Felipe Sanchez</t>
  </si>
  <si>
    <t>Laura Ossa</t>
  </si>
  <si>
    <t>Elizabeth Montealegre</t>
  </si>
  <si>
    <t>Liliana Montealegre</t>
  </si>
  <si>
    <t>Javier Andres Gomez</t>
  </si>
  <si>
    <t>Diana Carolina Marin</t>
  </si>
  <si>
    <t>Diego Fernando Saavedra</t>
  </si>
  <si>
    <t>Oscar Mayor</t>
  </si>
  <si>
    <t>Ingrid Toro</t>
  </si>
  <si>
    <t>Ana Marcela Castro</t>
  </si>
  <si>
    <t>Ricardo Gutierrez</t>
  </si>
  <si>
    <t>Natalia Navarro</t>
  </si>
  <si>
    <t>Diana Perez</t>
  </si>
  <si>
    <t>Sergio Diaz</t>
  </si>
  <si>
    <t>William Oviedo</t>
  </si>
  <si>
    <t>Armando Orjuela</t>
  </si>
  <si>
    <t xml:space="preserve">Helen Muñoz </t>
  </si>
  <si>
    <t>Julieth Cruz - Luiz Diaz</t>
  </si>
  <si>
    <t>Jose Luis Montoya</t>
  </si>
  <si>
    <t>Sebastian Posada</t>
  </si>
  <si>
    <t>Juan Cifuentes</t>
  </si>
  <si>
    <t>Rodrigo Dominguez</t>
  </si>
  <si>
    <t xml:space="preserve">Carlos Calero </t>
  </si>
  <si>
    <t>Lewhis Spirth Montaño</t>
  </si>
  <si>
    <t>Sebastian Castro Luna</t>
  </si>
  <si>
    <t>Francia Orozco</t>
  </si>
  <si>
    <t>Fredy Rojas</t>
  </si>
  <si>
    <t>John Quiñonez</t>
  </si>
  <si>
    <t>Yuli Guzman</t>
  </si>
  <si>
    <t>Luis Alfredo Plaza</t>
  </si>
  <si>
    <t>Naty Bermudez</t>
  </si>
  <si>
    <t>Edgar Ivan Giraldo Duran</t>
  </si>
  <si>
    <t>Caterine Filigrana</t>
  </si>
  <si>
    <t>Adriana Belalcazar</t>
  </si>
  <si>
    <t>Angelisa Hurtado</t>
  </si>
  <si>
    <t>Isabela Muñoz</t>
  </si>
  <si>
    <t>Francisco Moreno Alvarez</t>
  </si>
  <si>
    <t>Julian Useche</t>
  </si>
  <si>
    <t>MEXICO</t>
  </si>
  <si>
    <t>SUDAFRICA</t>
  </si>
  <si>
    <t>PUNTOS</t>
  </si>
  <si>
    <t>COREA DEL SUR</t>
  </si>
  <si>
    <t xml:space="preserve">REPUBLICA CHECA </t>
  </si>
  <si>
    <t>REPUBLICA CHECA</t>
  </si>
  <si>
    <t xml:space="preserve">COREA DEL SUR </t>
  </si>
  <si>
    <t>GRUPO B:  CANADA, BOSNIA, CATAR, SUIZA</t>
  </si>
  <si>
    <t>CANADA</t>
  </si>
  <si>
    <t>BOSNIA</t>
  </si>
  <si>
    <t>CATAR</t>
  </si>
  <si>
    <t>SUIZA</t>
  </si>
  <si>
    <t>GRUPO C:  BRASIL, MARRUECOS, ESCOCIA, HAITI</t>
  </si>
  <si>
    <t>BRASIL</t>
  </si>
  <si>
    <t>MARRUECOS</t>
  </si>
  <si>
    <t>HAITI</t>
  </si>
  <si>
    <t>ESCOCIA</t>
  </si>
  <si>
    <t>GRUPO D:  ESTADOS UNIDOS, PARAGUAY, AUSTRALIA, TURQUIA</t>
  </si>
  <si>
    <t>ESTADOS UNIDOS</t>
  </si>
  <si>
    <t>PARAGUAY</t>
  </si>
  <si>
    <t>AUSTRALIA</t>
  </si>
  <si>
    <t>TURQUIA</t>
  </si>
  <si>
    <t xml:space="preserve">TURQUIA </t>
  </si>
  <si>
    <t>GRUPO E:  ALEMANIA, CURACAO, COSTA DE MARFIL, ECUADOR</t>
  </si>
  <si>
    <t>ALEMANIA</t>
  </si>
  <si>
    <t>CURACAO</t>
  </si>
  <si>
    <t>COSTA DE MARFIL</t>
  </si>
  <si>
    <t>ECUADOR</t>
  </si>
  <si>
    <t xml:space="preserve">ECUADOR </t>
  </si>
  <si>
    <t>GRUPO F:  PAISES BAJOS, JAPON, SUECIA, TUNEZ</t>
  </si>
  <si>
    <t>PAISES BAJOS</t>
  </si>
  <si>
    <t>JAPON</t>
  </si>
  <si>
    <t>SUECIA</t>
  </si>
  <si>
    <t>TUNEZ</t>
  </si>
  <si>
    <t xml:space="preserve">TUNEZ </t>
  </si>
  <si>
    <t>GRUPO G:  BELGICA, EGIPTO. IRAN, NUEVA ZELANDA</t>
  </si>
  <si>
    <t>BELGICA</t>
  </si>
  <si>
    <t>EGIPTO</t>
  </si>
  <si>
    <t>IRAN</t>
  </si>
  <si>
    <t>NUEVA ZELANDA</t>
  </si>
  <si>
    <t xml:space="preserve">GRUPO H:  ESPAÑA, CABO VERDE, ARABIA SAUDITA, URUGUAY </t>
  </si>
  <si>
    <t>ESPAÑA</t>
  </si>
  <si>
    <t>CABO VERDE</t>
  </si>
  <si>
    <t>ARABIA</t>
  </si>
  <si>
    <t>URUGUAY</t>
  </si>
  <si>
    <t xml:space="preserve">CABO VERDE </t>
  </si>
  <si>
    <t>URUGAY</t>
  </si>
  <si>
    <t>GRUPO I:  FRANCIA, SENEGAL. IRAK, NORUEGA</t>
  </si>
  <si>
    <t>FRANCIA</t>
  </si>
  <si>
    <t>SENEGAL</t>
  </si>
  <si>
    <t>IRAK</t>
  </si>
  <si>
    <t>NORUEGA</t>
  </si>
  <si>
    <t xml:space="preserve">NORUEGA </t>
  </si>
  <si>
    <t>GRUPO J:  ARGENTINA, ARGELIA, AUSTRIA, JORDANIA</t>
  </si>
  <si>
    <t>ARGENTINA</t>
  </si>
  <si>
    <t>ARGELIA</t>
  </si>
  <si>
    <t>AUSTRIA</t>
  </si>
  <si>
    <t>JORDANIA</t>
  </si>
  <si>
    <t>12:00:00 M</t>
  </si>
  <si>
    <t>GRUPO K:  PORTUGAL, CONGO. COLOMBIA, USBEKISTAN</t>
  </si>
  <si>
    <t>PORTUGAL</t>
  </si>
  <si>
    <t>CONGO</t>
  </si>
  <si>
    <t>12:00:00 m.</t>
  </si>
  <si>
    <t>UZBEKISTAN</t>
  </si>
  <si>
    <t>COLOMBIA</t>
  </si>
  <si>
    <t>GRUPO L:  INGLATERRA, CROACIA, GHANA, PANAMA</t>
  </si>
  <si>
    <t>INGLATERRA</t>
  </si>
  <si>
    <t>CROACIA</t>
  </si>
  <si>
    <t>GHANA</t>
  </si>
  <si>
    <t>PANAMA</t>
  </si>
  <si>
    <t>PUNTOS ACUM</t>
  </si>
  <si>
    <t>INDICE</t>
  </si>
  <si>
    <t>RANKING</t>
  </si>
  <si>
    <t>Cantidad 5</t>
  </si>
  <si>
    <t>Cantidad 3</t>
  </si>
  <si>
    <t>Cantidad 2</t>
  </si>
  <si>
    <t>Cantidad 1</t>
  </si>
  <si>
    <t>INDICE DESEMPATE</t>
  </si>
  <si>
    <t>DESEMPATE</t>
  </si>
  <si>
    <t>RANKING DESEMPATE</t>
  </si>
  <si>
    <t>Angelica Maria Panesso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</si>
</sst>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i/>
      <sz val="20"/>
      <color rgb="FF3A3838"/>
      <name val="Calibri"/>
    </font>
    <font>
      <sz val="11"/>
      <name val="Calibri"/>
    </font>
    <font>
      <b/>
      <sz val="18"/>
      <color theme="0"/>
      <name val="Calibri"/>
    </font>
    <font>
      <b/>
      <sz val="14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b/>
      <sz val="16"/>
      <color theme="0"/>
      <name val="Calibri"/>
    </font>
    <font>
      <b/>
      <sz val="12"/>
      <color rgb="FF3A3838"/>
      <name val="Calibri"/>
    </font>
    <font>
      <b/>
      <sz val="13"/>
      <color theme="1"/>
      <name val="Calibri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" fontId="8" fillId="4" borderId="4" xfId="0" applyNumberFormat="1" applyFont="1" applyFill="1" applyBorder="1" applyAlignment="1">
      <alignment horizontal="center" vertical="center"/>
    </xf>
    <xf numFmtId="18" fontId="8" fillId="4" borderId="5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textRotation="90" wrapText="1"/>
    </xf>
    <xf numFmtId="0" fontId="9" fillId="3" borderId="4" xfId="0" applyFont="1" applyFill="1" applyBorder="1" applyAlignment="1">
      <alignment horizontal="left" textRotation="90" wrapText="1"/>
    </xf>
    <xf numFmtId="0" fontId="7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" fontId="8" fillId="5" borderId="4" xfId="0" applyNumberFormat="1" applyFont="1" applyFill="1" applyBorder="1" applyAlignment="1">
      <alignment horizontal="center" vertical="center"/>
    </xf>
    <xf numFmtId="18" fontId="8" fillId="5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6" fillId="0" borderId="0" xfId="0" applyFont="1"/>
    <xf numFmtId="0" fontId="3" fillId="3" borderId="4" xfId="0" applyFont="1" applyFill="1" applyBorder="1" applyAlignment="1">
      <alignment horizontal="center" textRotation="90" wrapText="1"/>
    </xf>
    <xf numFmtId="1" fontId="8" fillId="3" borderId="4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left" textRotation="90" wrapText="1"/>
    </xf>
    <xf numFmtId="0" fontId="15" fillId="0" borderId="4" xfId="0" applyFont="1" applyBorder="1" applyAlignment="1">
      <alignment horizontal="center"/>
    </xf>
    <xf numFmtId="0" fontId="12" fillId="8" borderId="12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16" fontId="16" fillId="0" borderId="0" xfId="0" applyNumberFormat="1" applyFont="1" applyAlignment="1">
      <alignment horizontal="center" vertical="center"/>
    </xf>
    <xf numFmtId="18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textRotation="90" wrapText="1"/>
    </xf>
    <xf numFmtId="0" fontId="17" fillId="0" borderId="0" xfId="0" applyFont="1"/>
    <xf numFmtId="18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18" fontId="16" fillId="3" borderId="5" xfId="0" applyNumberFormat="1" applyFont="1" applyFill="1" applyBorder="1" applyAlignment="1">
      <alignment horizontal="center" vertical="center" wrapText="1"/>
    </xf>
    <xf numFmtId="0" fontId="13" fillId="8" borderId="0" xfId="0" applyFont="1" applyFill="1"/>
    <xf numFmtId="0" fontId="16" fillId="3" borderId="4" xfId="0" applyFont="1" applyFill="1" applyBorder="1" applyAlignment="1">
      <alignment horizontal="center" wrapText="1"/>
    </xf>
    <xf numFmtId="1" fontId="16" fillId="3" borderId="5" xfId="0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" fontId="17" fillId="0" borderId="5" xfId="0" applyNumberFormat="1" applyFont="1" applyBorder="1" applyAlignment="1">
      <alignment horizontal="center"/>
    </xf>
    <xf numFmtId="1" fontId="13" fillId="7" borderId="12" xfId="0" applyNumberFormat="1" applyFont="1" applyFill="1" applyBorder="1" applyAlignment="1">
      <alignment horizontal="center"/>
    </xf>
    <xf numFmtId="0" fontId="13" fillId="7" borderId="0" xfId="0" applyFont="1" applyFill="1"/>
    <xf numFmtId="0" fontId="17" fillId="7" borderId="4" xfId="0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8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7" fillId="6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francisco.moreno/Downloads/Fixture-Copa-Mundial-FIFA-2026_ClasesExcel.xlsx" TargetMode="External"/><Relationship Id="rId1" Type="http://schemas.openxmlformats.org/officeDocument/2006/relationships/externalLinkPath" Target="/Users/francisco.moreno/Downloads/Fixture-Copa-Mundial-FIFA-2026_Clases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rtada"/>
      <sheetName val="Ingreso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Dieciseisavos"/>
      <sheetName val="Octavos"/>
      <sheetName val="Cuartos"/>
      <sheetName val="Semifinales"/>
      <sheetName val="FINAL"/>
      <sheetName val="Extra"/>
      <sheetName val="UTC"/>
      <sheetName val="Copyright"/>
      <sheetName val="Recursos"/>
    </sheetNames>
    <sheetDataSet>
      <sheetData sheetId="0">
        <row r="1">
          <cell r="XFD1">
            <v>1</v>
          </cell>
        </row>
      </sheetData>
      <sheetData sheetId="1" refreshError="1"/>
      <sheetData sheetId="2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3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4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5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6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7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8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9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10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11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12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13">
        <row r="10">
          <cell r="AQ10" t="str">
            <v/>
          </cell>
        </row>
        <row r="15">
          <cell r="AQ15" t="str">
            <v/>
          </cell>
        </row>
        <row r="20">
          <cell r="AQ20" t="str">
            <v/>
          </cell>
        </row>
      </sheetData>
      <sheetData sheetId="14">
        <row r="8">
          <cell r="E8" t="str">
            <v>vacía</v>
          </cell>
          <cell r="O8" t="str">
            <v>vacía</v>
          </cell>
          <cell r="R8" t="str">
            <v/>
          </cell>
        </row>
        <row r="12">
          <cell r="E12" t="str">
            <v>vacía</v>
          </cell>
          <cell r="O12" t="str">
            <v>vacía</v>
          </cell>
          <cell r="R12" t="str">
            <v/>
          </cell>
        </row>
        <row r="16">
          <cell r="E16" t="str">
            <v>vacía</v>
          </cell>
          <cell r="O16" t="str">
            <v>vacía</v>
          </cell>
          <cell r="R16" t="str">
            <v/>
          </cell>
        </row>
        <row r="20">
          <cell r="E20" t="str">
            <v>vacía</v>
          </cell>
          <cell r="O20" t="str">
            <v>vacía</v>
          </cell>
          <cell r="R20" t="str">
            <v/>
          </cell>
        </row>
        <row r="24">
          <cell r="E24" t="str">
            <v>vacía</v>
          </cell>
          <cell r="O24" t="str">
            <v>vacía</v>
          </cell>
          <cell r="R24" t="str">
            <v/>
          </cell>
        </row>
        <row r="28">
          <cell r="E28" t="str">
            <v>vacía</v>
          </cell>
          <cell r="O28" t="str">
            <v>vacía</v>
          </cell>
          <cell r="R28" t="str">
            <v/>
          </cell>
        </row>
        <row r="32">
          <cell r="E32" t="str">
            <v>vacía</v>
          </cell>
          <cell r="O32" t="str">
            <v>vacía</v>
          </cell>
          <cell r="R32" t="str">
            <v/>
          </cell>
        </row>
        <row r="36">
          <cell r="E36" t="str">
            <v>vacía</v>
          </cell>
          <cell r="O36" t="str">
            <v>vacía</v>
          </cell>
          <cell r="R36" t="str">
            <v/>
          </cell>
        </row>
        <row r="40">
          <cell r="E40" t="str">
            <v>vacía</v>
          </cell>
          <cell r="O40" t="str">
            <v>vacía</v>
          </cell>
          <cell r="R40" t="str">
            <v/>
          </cell>
        </row>
        <row r="44">
          <cell r="E44" t="str">
            <v>vacía</v>
          </cell>
          <cell r="O44" t="str">
            <v>vacía</v>
          </cell>
          <cell r="R44" t="str">
            <v/>
          </cell>
        </row>
        <row r="48">
          <cell r="E48" t="str">
            <v>vacía</v>
          </cell>
          <cell r="O48" t="str">
            <v>vacía</v>
          </cell>
          <cell r="R48" t="str">
            <v/>
          </cell>
        </row>
        <row r="52">
          <cell r="E52" t="str">
            <v>vacía</v>
          </cell>
          <cell r="O52" t="str">
            <v>vacía</v>
          </cell>
          <cell r="R52" t="str">
            <v/>
          </cell>
        </row>
        <row r="56">
          <cell r="E56" t="str">
            <v>vacía</v>
          </cell>
          <cell r="O56" t="str">
            <v>vacía</v>
          </cell>
          <cell r="R56" t="str">
            <v/>
          </cell>
        </row>
        <row r="60">
          <cell r="E60" t="str">
            <v>vacía</v>
          </cell>
          <cell r="O60" t="str">
            <v>vacía</v>
          </cell>
          <cell r="R60" t="str">
            <v/>
          </cell>
        </row>
        <row r="64">
          <cell r="E64" t="str">
            <v>vacía</v>
          </cell>
          <cell r="O64" t="str">
            <v>vacía</v>
          </cell>
          <cell r="R64" t="str">
            <v/>
          </cell>
        </row>
        <row r="68">
          <cell r="E68" t="str">
            <v>vacía</v>
          </cell>
          <cell r="O68" t="str">
            <v>vacía</v>
          </cell>
          <cell r="R68" t="str">
            <v/>
          </cell>
        </row>
      </sheetData>
      <sheetData sheetId="15">
        <row r="8">
          <cell r="E8" t="str">
            <v>vacía</v>
          </cell>
          <cell r="O8" t="str">
            <v>vacía</v>
          </cell>
          <cell r="R8" t="str">
            <v/>
          </cell>
        </row>
        <row r="12">
          <cell r="E12" t="str">
            <v>vacía</v>
          </cell>
          <cell r="O12" t="str">
            <v>vacía</v>
          </cell>
          <cell r="R12" t="str">
            <v/>
          </cell>
        </row>
        <row r="16">
          <cell r="E16" t="str">
            <v>vacía</v>
          </cell>
          <cell r="O16" t="str">
            <v>vacía</v>
          </cell>
          <cell r="R16" t="str">
            <v/>
          </cell>
        </row>
        <row r="20">
          <cell r="E20" t="str">
            <v>vacía</v>
          </cell>
          <cell r="O20" t="str">
            <v>vacía</v>
          </cell>
          <cell r="R20" t="str">
            <v/>
          </cell>
        </row>
        <row r="24">
          <cell r="E24" t="str">
            <v>vacía</v>
          </cell>
          <cell r="O24" t="str">
            <v>vacía</v>
          </cell>
          <cell r="R24" t="str">
            <v/>
          </cell>
        </row>
        <row r="28">
          <cell r="E28" t="str">
            <v>vacía</v>
          </cell>
          <cell r="O28" t="str">
            <v>vacía</v>
          </cell>
          <cell r="R28" t="str">
            <v/>
          </cell>
        </row>
        <row r="32">
          <cell r="E32" t="str">
            <v>vacía</v>
          </cell>
          <cell r="O32" t="str">
            <v>vacía</v>
          </cell>
          <cell r="R32" t="str">
            <v/>
          </cell>
        </row>
        <row r="36">
          <cell r="E36" t="str">
            <v>vacía</v>
          </cell>
          <cell r="O36" t="str">
            <v>vacía</v>
          </cell>
          <cell r="R36" t="str">
            <v/>
          </cell>
        </row>
      </sheetData>
      <sheetData sheetId="16">
        <row r="8">
          <cell r="E8" t="str">
            <v>vacía</v>
          </cell>
          <cell r="O8" t="str">
            <v>vacía</v>
          </cell>
          <cell r="R8" t="str">
            <v/>
          </cell>
        </row>
        <row r="12">
          <cell r="E12" t="str">
            <v>vacía</v>
          </cell>
          <cell r="O12" t="str">
            <v>vacía</v>
          </cell>
          <cell r="R12" t="str">
            <v/>
          </cell>
        </row>
        <row r="16">
          <cell r="E16" t="str">
            <v>vacía</v>
          </cell>
          <cell r="O16" t="str">
            <v>vacía</v>
          </cell>
          <cell r="R16" t="str">
            <v/>
          </cell>
        </row>
        <row r="20">
          <cell r="E20" t="str">
            <v>vacía</v>
          </cell>
          <cell r="O20" t="str">
            <v>vacía</v>
          </cell>
          <cell r="R20" t="str">
            <v/>
          </cell>
        </row>
      </sheetData>
      <sheetData sheetId="17">
        <row r="8">
          <cell r="E8" t="str">
            <v>vacía</v>
          </cell>
          <cell r="O8" t="str">
            <v>vacía</v>
          </cell>
          <cell r="R8" t="str">
            <v/>
          </cell>
          <cell r="T8" t="str">
            <v/>
          </cell>
        </row>
        <row r="12">
          <cell r="E12" t="str">
            <v>vacía</v>
          </cell>
          <cell r="O12" t="str">
            <v>vacía</v>
          </cell>
          <cell r="R12" t="str">
            <v/>
          </cell>
          <cell r="T12" t="str">
            <v/>
          </cell>
        </row>
      </sheetData>
      <sheetData sheetId="18">
        <row r="8">
          <cell r="E8" t="str">
            <v>vacía</v>
          </cell>
          <cell r="O8" t="str">
            <v>vacía</v>
          </cell>
        </row>
        <row r="15">
          <cell r="E15" t="str">
            <v>vacía</v>
          </cell>
          <cell r="O15" t="str">
            <v>vacía</v>
          </cell>
        </row>
        <row r="16">
          <cell r="E16" t="str">
            <v>vacía</v>
          </cell>
        </row>
      </sheetData>
      <sheetData sheetId="19" refreshError="1"/>
      <sheetData sheetId="20">
        <row r="3">
          <cell r="C3" t="str">
            <v>UTC-05:00</v>
          </cell>
          <cell r="X3">
            <v>-1</v>
          </cell>
          <cell r="Y3" t="str">
            <v>05</v>
          </cell>
          <cell r="Z3">
            <v>0</v>
          </cell>
          <cell r="AA3">
            <v>-5</v>
          </cell>
        </row>
      </sheetData>
      <sheetData sheetId="21" refreshError="1"/>
      <sheetData sheetId="22">
        <row r="1">
          <cell r="D1" t="str">
            <v>UTC-12:00</v>
          </cell>
        </row>
        <row r="2">
          <cell r="D2" t="str">
            <v>UTC-11:00</v>
          </cell>
          <cell r="AD2" t="str">
            <v>ABCDEFGH</v>
          </cell>
        </row>
        <row r="3">
          <cell r="D3" t="str">
            <v>UTC-10:00</v>
          </cell>
          <cell r="AD3" t="e">
            <v>#NAME?</v>
          </cell>
        </row>
        <row r="4">
          <cell r="D4" t="str">
            <v>UTC-09:00</v>
          </cell>
        </row>
        <row r="5">
          <cell r="D5" t="str">
            <v>UTC-08:00</v>
          </cell>
          <cell r="AD5" t="str">
            <v/>
          </cell>
        </row>
        <row r="6">
          <cell r="D6" t="str">
            <v>UTC-07:00</v>
          </cell>
          <cell r="AD6" t="str">
            <v/>
          </cell>
        </row>
        <row r="7">
          <cell r="D7" t="str">
            <v>UTC-06:00</v>
          </cell>
          <cell r="AD7" t="str">
            <v/>
          </cell>
        </row>
        <row r="8">
          <cell r="D8" t="str">
            <v>UTC-05:00</v>
          </cell>
          <cell r="AD8" t="str">
            <v/>
          </cell>
        </row>
        <row r="9">
          <cell r="D9" t="str">
            <v>UTC-04:00</v>
          </cell>
          <cell r="AD9" t="str">
            <v/>
          </cell>
        </row>
        <row r="10">
          <cell r="D10" t="str">
            <v>UTC-03:30</v>
          </cell>
          <cell r="AD10" t="str">
            <v/>
          </cell>
        </row>
        <row r="11">
          <cell r="D11" t="str">
            <v>UTC-03:00</v>
          </cell>
          <cell r="AD11" t="str">
            <v/>
          </cell>
        </row>
        <row r="12">
          <cell r="D12" t="str">
            <v>UTC-02:00</v>
          </cell>
          <cell r="AD12" t="str">
            <v/>
          </cell>
        </row>
        <row r="13">
          <cell r="D13" t="str">
            <v>UTC-01:00</v>
          </cell>
          <cell r="AD13" t="str">
            <v/>
          </cell>
        </row>
        <row r="14">
          <cell r="D14" t="str">
            <v>UTC+00:00</v>
          </cell>
          <cell r="AD14" t="str">
            <v/>
          </cell>
        </row>
        <row r="15">
          <cell r="D15" t="str">
            <v>UTC+01:00</v>
          </cell>
          <cell r="AD15" t="str">
            <v/>
          </cell>
        </row>
        <row r="16">
          <cell r="D16" t="str">
            <v>UTC+02:00</v>
          </cell>
          <cell r="AD16" t="str">
            <v/>
          </cell>
        </row>
        <row r="17">
          <cell r="D17" t="str">
            <v>UTC+03:00</v>
          </cell>
        </row>
        <row r="18">
          <cell r="D18" t="str">
            <v>UTC+03:30</v>
          </cell>
        </row>
        <row r="19">
          <cell r="D19" t="str">
            <v>UTC+04:00</v>
          </cell>
        </row>
        <row r="20">
          <cell r="D20" t="str">
            <v>UTC+04:30</v>
          </cell>
        </row>
        <row r="21">
          <cell r="D21" t="str">
            <v>UTC+05:00</v>
          </cell>
        </row>
        <row r="22">
          <cell r="D22" t="str">
            <v>UTC+05:30</v>
          </cell>
        </row>
        <row r="23">
          <cell r="D23" t="str">
            <v>UTC+05:45</v>
          </cell>
        </row>
        <row r="24">
          <cell r="D24" t="str">
            <v>UTC+06:00</v>
          </cell>
        </row>
        <row r="25">
          <cell r="D25" t="str">
            <v>UTC+06:30</v>
          </cell>
        </row>
        <row r="26">
          <cell r="D26" t="str">
            <v>UTC+07:00</v>
          </cell>
        </row>
        <row r="27">
          <cell r="D27" t="str">
            <v>UTC+08:00</v>
          </cell>
        </row>
        <row r="28">
          <cell r="D28" t="str">
            <v>UTC+09:00</v>
          </cell>
        </row>
        <row r="29">
          <cell r="D29" t="str">
            <v>UTC+09:30</v>
          </cell>
        </row>
        <row r="30">
          <cell r="D30" t="str">
            <v>UTC+10:00</v>
          </cell>
        </row>
        <row r="31">
          <cell r="D31" t="str">
            <v>UTC+10:30</v>
          </cell>
        </row>
        <row r="32">
          <cell r="D32" t="str">
            <v>UTC+11:00</v>
          </cell>
        </row>
        <row r="33">
          <cell r="D33" t="str">
            <v>UTC+12:00</v>
          </cell>
        </row>
        <row r="34">
          <cell r="D34" t="str">
            <v>UTC+12:45</v>
          </cell>
        </row>
        <row r="35">
          <cell r="D35" t="str">
            <v>UTC+13:00</v>
          </cell>
        </row>
        <row r="36">
          <cell r="D36" t="str">
            <v>UTC+14:00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435"/>
  <sheetViews>
    <sheetView tabSelected="1" topLeftCell="A386" zoomScale="70" zoomScaleNormal="70" workbookViewId="0">
      <selection activeCell="C439" sqref="C439"/>
    </sheetView>
  </sheetViews>
  <sheetFormatPr defaultColWidth="14.42578125" defaultRowHeight="15" customHeight="1" x14ac:dyDescent="0.25"/>
  <cols>
    <col min="1" max="1" width="5.42578125" customWidth="1"/>
    <col min="2" max="2" width="33.42578125" customWidth="1"/>
    <col min="3" max="3" width="27.85546875" customWidth="1"/>
    <col min="4" max="4" width="5.140625" customWidth="1"/>
    <col min="5" max="13" width="4.7109375" customWidth="1"/>
    <col min="14" max="14" width="5.140625" customWidth="1"/>
    <col min="15" max="24" width="5.42578125" customWidth="1"/>
    <col min="25" max="25" width="5.28515625" customWidth="1"/>
    <col min="26" max="31" width="5.42578125" customWidth="1"/>
    <col min="32" max="32" width="5.5703125" customWidth="1"/>
    <col min="33" max="42" width="5.42578125" customWidth="1"/>
    <col min="43" max="43" width="5.28515625" customWidth="1"/>
    <col min="44" max="55" width="5.42578125" customWidth="1"/>
    <col min="56" max="56" width="5.28515625" customWidth="1"/>
    <col min="57" max="57" width="4.7109375" customWidth="1"/>
    <col min="58" max="59" width="5.140625" customWidth="1"/>
    <col min="60" max="62" width="5.28515625" customWidth="1"/>
  </cols>
  <sheetData>
    <row r="2" spans="1:62" ht="39" customHeight="1" x14ac:dyDescent="0.25">
      <c r="A2" s="66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9"/>
    </row>
    <row r="3" spans="1:62" ht="42" customHeight="1" x14ac:dyDescent="0.25">
      <c r="A3" s="57" t="s">
        <v>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62" ht="32.25" customHeight="1" x14ac:dyDescent="0.25">
      <c r="A5" s="57" t="s">
        <v>2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9"/>
    </row>
    <row r="6" spans="1:62" ht="15.75" x14ac:dyDescent="0.25">
      <c r="A6" s="2"/>
      <c r="B6" s="2"/>
      <c r="C6" s="2"/>
      <c r="D6" s="2"/>
      <c r="E6" s="2"/>
      <c r="F6" s="2"/>
      <c r="G6" s="2"/>
      <c r="H6" s="3"/>
      <c r="I6" s="3"/>
      <c r="J6" s="3"/>
    </row>
    <row r="7" spans="1:62" ht="15.75" x14ac:dyDescent="0.25">
      <c r="A7" s="4"/>
      <c r="B7" s="5"/>
      <c r="C7" s="6"/>
      <c r="D7" s="7">
        <v>1</v>
      </c>
      <c r="E7" s="7">
        <v>2</v>
      </c>
      <c r="F7" s="7">
        <v>3</v>
      </c>
      <c r="G7" s="7">
        <v>4</v>
      </c>
      <c r="H7" s="7">
        <v>5</v>
      </c>
      <c r="I7" s="7">
        <v>6</v>
      </c>
      <c r="J7" s="7">
        <v>7</v>
      </c>
      <c r="K7" s="7">
        <v>8</v>
      </c>
      <c r="L7" s="7">
        <v>9</v>
      </c>
      <c r="M7" s="7">
        <v>10</v>
      </c>
      <c r="N7" s="7">
        <v>11</v>
      </c>
      <c r="O7" s="7">
        <v>12</v>
      </c>
      <c r="P7" s="7">
        <v>13</v>
      </c>
      <c r="Q7" s="7">
        <v>14</v>
      </c>
      <c r="R7" s="7">
        <v>15</v>
      </c>
      <c r="S7" s="7">
        <v>16</v>
      </c>
      <c r="T7" s="7">
        <v>17</v>
      </c>
      <c r="U7" s="7">
        <v>18</v>
      </c>
      <c r="V7" s="7">
        <v>19</v>
      </c>
      <c r="W7" s="7">
        <v>20</v>
      </c>
      <c r="X7" s="7">
        <v>21</v>
      </c>
      <c r="Y7" s="7">
        <v>22</v>
      </c>
      <c r="Z7" s="7">
        <v>23</v>
      </c>
      <c r="AA7" s="7">
        <v>24</v>
      </c>
      <c r="AB7" s="7">
        <v>25</v>
      </c>
      <c r="AC7" s="7">
        <v>26</v>
      </c>
      <c r="AD7" s="7">
        <v>27</v>
      </c>
      <c r="AE7" s="7">
        <v>28</v>
      </c>
      <c r="AF7" s="7">
        <v>29</v>
      </c>
      <c r="AG7" s="7">
        <v>30</v>
      </c>
      <c r="AH7" s="7">
        <v>31</v>
      </c>
      <c r="AI7" s="7">
        <v>32</v>
      </c>
      <c r="AJ7" s="7">
        <v>33</v>
      </c>
      <c r="AK7" s="7">
        <v>34</v>
      </c>
      <c r="AL7" s="7">
        <v>35</v>
      </c>
      <c r="AM7" s="7">
        <v>36</v>
      </c>
      <c r="AN7" s="7">
        <v>37</v>
      </c>
      <c r="AO7" s="7">
        <v>38</v>
      </c>
      <c r="AP7" s="7">
        <v>39</v>
      </c>
      <c r="AQ7" s="7">
        <v>40</v>
      </c>
      <c r="AR7" s="7">
        <v>41</v>
      </c>
      <c r="AS7" s="7">
        <v>42</v>
      </c>
      <c r="AT7" s="7">
        <v>43</v>
      </c>
      <c r="AU7" s="7">
        <v>44</v>
      </c>
      <c r="AV7" s="7">
        <v>45</v>
      </c>
      <c r="AW7" s="7">
        <v>46</v>
      </c>
      <c r="AX7" s="7">
        <v>47</v>
      </c>
      <c r="AY7" s="7">
        <v>48</v>
      </c>
      <c r="AZ7" s="7">
        <v>49</v>
      </c>
      <c r="BA7" s="7">
        <v>50</v>
      </c>
      <c r="BB7" s="7">
        <v>51</v>
      </c>
      <c r="BC7" s="7">
        <v>52</v>
      </c>
      <c r="BD7" s="7">
        <v>53</v>
      </c>
      <c r="BE7" s="7">
        <v>54</v>
      </c>
      <c r="BF7" s="7">
        <v>55</v>
      </c>
      <c r="BG7" s="7">
        <v>56</v>
      </c>
      <c r="BH7" s="7">
        <v>57</v>
      </c>
      <c r="BI7" s="7">
        <v>58</v>
      </c>
      <c r="BJ7" s="7">
        <v>59</v>
      </c>
    </row>
    <row r="8" spans="1:62" ht="183.75" customHeight="1" x14ac:dyDescent="0.25">
      <c r="A8" s="8"/>
      <c r="B8" s="9" t="s">
        <v>3</v>
      </c>
      <c r="C8" s="10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  <c r="K8" s="12" t="s">
        <v>12</v>
      </c>
      <c r="L8" s="11" t="s">
        <v>13</v>
      </c>
      <c r="M8" s="11" t="s">
        <v>14</v>
      </c>
      <c r="N8" s="11" t="s">
        <v>15</v>
      </c>
      <c r="O8" s="11" t="s">
        <v>16</v>
      </c>
      <c r="P8" s="11" t="s">
        <v>17</v>
      </c>
      <c r="Q8" s="11" t="s">
        <v>18</v>
      </c>
      <c r="R8" s="11" t="s">
        <v>19</v>
      </c>
      <c r="S8" s="11" t="s">
        <v>20</v>
      </c>
      <c r="T8" s="11" t="s">
        <v>21</v>
      </c>
      <c r="U8" s="11" t="s">
        <v>22</v>
      </c>
      <c r="V8" s="11" t="s">
        <v>23</v>
      </c>
      <c r="W8" s="11" t="s">
        <v>24</v>
      </c>
      <c r="X8" s="11" t="s">
        <v>25</v>
      </c>
      <c r="Y8" s="11" t="s">
        <v>26</v>
      </c>
      <c r="Z8" s="11" t="s">
        <v>27</v>
      </c>
      <c r="AA8" s="11" t="s">
        <v>28</v>
      </c>
      <c r="AB8" s="11" t="s">
        <v>29</v>
      </c>
      <c r="AC8" s="11" t="s">
        <v>30</v>
      </c>
      <c r="AD8" s="11" t="s">
        <v>31</v>
      </c>
      <c r="AE8" s="11" t="s">
        <v>32</v>
      </c>
      <c r="AF8" s="11" t="s">
        <v>33</v>
      </c>
      <c r="AG8" s="11" t="s">
        <v>34</v>
      </c>
      <c r="AH8" s="11" t="s">
        <v>35</v>
      </c>
      <c r="AI8" s="11" t="s">
        <v>36</v>
      </c>
      <c r="AJ8" s="11" t="s">
        <v>37</v>
      </c>
      <c r="AK8" s="12" t="s">
        <v>38</v>
      </c>
      <c r="AL8" s="12" t="s">
        <v>39</v>
      </c>
      <c r="AM8" s="12" t="s">
        <v>40</v>
      </c>
      <c r="AN8" s="12" t="s">
        <v>41</v>
      </c>
      <c r="AO8" s="12" t="s">
        <v>42</v>
      </c>
      <c r="AP8" s="12" t="s">
        <v>43</v>
      </c>
      <c r="AQ8" s="12" t="s">
        <v>62</v>
      </c>
      <c r="AR8" s="12" t="s">
        <v>44</v>
      </c>
      <c r="AS8" s="12" t="s">
        <v>45</v>
      </c>
      <c r="AT8" s="11" t="s">
        <v>46</v>
      </c>
      <c r="AU8" s="11" t="s">
        <v>47</v>
      </c>
      <c r="AV8" s="12" t="s">
        <v>48</v>
      </c>
      <c r="AW8" s="12" t="s">
        <v>49</v>
      </c>
      <c r="AX8" s="12" t="s">
        <v>50</v>
      </c>
      <c r="AY8" s="12" t="s">
        <v>51</v>
      </c>
      <c r="AZ8" s="12" t="s">
        <v>52</v>
      </c>
      <c r="BA8" s="12" t="s">
        <v>53</v>
      </c>
      <c r="BB8" s="12" t="s">
        <v>54</v>
      </c>
      <c r="BC8" s="12" t="s">
        <v>55</v>
      </c>
      <c r="BD8" s="12" t="s">
        <v>56</v>
      </c>
      <c r="BE8" s="12" t="s">
        <v>57</v>
      </c>
      <c r="BF8" s="12" t="s">
        <v>58</v>
      </c>
      <c r="BG8" s="12" t="s">
        <v>59</v>
      </c>
      <c r="BH8" s="12" t="s">
        <v>60</v>
      </c>
      <c r="BI8" s="12" t="s">
        <v>61</v>
      </c>
      <c r="BJ8" s="29" t="s">
        <v>143</v>
      </c>
    </row>
    <row r="9" spans="1:62" ht="21.75" customHeight="1" x14ac:dyDescent="0.25">
      <c r="A9" s="61">
        <v>1</v>
      </c>
      <c r="B9" s="14" t="s">
        <v>63</v>
      </c>
      <c r="C9" s="15"/>
      <c r="D9" s="16">
        <v>3</v>
      </c>
      <c r="E9" s="16">
        <v>3</v>
      </c>
      <c r="F9" s="16">
        <v>2</v>
      </c>
      <c r="G9" s="17">
        <v>3</v>
      </c>
      <c r="H9" s="16">
        <v>2</v>
      </c>
      <c r="I9" s="16">
        <v>3</v>
      </c>
      <c r="J9" s="16">
        <v>2</v>
      </c>
      <c r="K9" s="16">
        <v>3</v>
      </c>
      <c r="L9" s="16">
        <v>2</v>
      </c>
      <c r="M9" s="16">
        <v>3</v>
      </c>
      <c r="N9" s="16">
        <v>2</v>
      </c>
      <c r="O9" s="16">
        <v>2</v>
      </c>
      <c r="P9" s="16">
        <v>3</v>
      </c>
      <c r="Q9" s="16">
        <v>2</v>
      </c>
      <c r="R9" s="17">
        <v>2</v>
      </c>
      <c r="S9" s="16">
        <v>2</v>
      </c>
      <c r="T9" s="16">
        <v>2</v>
      </c>
      <c r="U9" s="16">
        <v>2</v>
      </c>
      <c r="V9" s="16">
        <v>2</v>
      </c>
      <c r="W9" s="16">
        <v>1</v>
      </c>
      <c r="X9" s="16">
        <v>1</v>
      </c>
      <c r="Y9" s="16">
        <v>2</v>
      </c>
      <c r="Z9" s="16">
        <v>2</v>
      </c>
      <c r="AA9" s="17">
        <v>2</v>
      </c>
      <c r="AB9" s="16">
        <v>2</v>
      </c>
      <c r="AC9" s="16">
        <v>2</v>
      </c>
      <c r="AD9" s="17">
        <v>3</v>
      </c>
      <c r="AE9" s="17">
        <v>2</v>
      </c>
      <c r="AF9" s="17">
        <v>2</v>
      </c>
      <c r="AG9" s="16">
        <v>2</v>
      </c>
      <c r="AH9" s="16">
        <v>2</v>
      </c>
      <c r="AI9" s="17">
        <v>3</v>
      </c>
      <c r="AJ9" s="16">
        <v>3</v>
      </c>
      <c r="AK9" s="16">
        <v>2</v>
      </c>
      <c r="AL9" s="16">
        <v>2</v>
      </c>
      <c r="AM9" s="16">
        <v>1</v>
      </c>
      <c r="AN9" s="16">
        <v>2</v>
      </c>
      <c r="AO9" s="16">
        <v>3</v>
      </c>
      <c r="AP9" s="17">
        <v>2</v>
      </c>
      <c r="AQ9" s="16">
        <v>2</v>
      </c>
      <c r="AR9" s="17">
        <v>2</v>
      </c>
      <c r="AS9" s="17">
        <v>0</v>
      </c>
      <c r="AT9" s="16">
        <v>1</v>
      </c>
      <c r="AU9" s="17">
        <v>1</v>
      </c>
      <c r="AV9" s="16">
        <v>2</v>
      </c>
      <c r="AW9" s="16">
        <v>2</v>
      </c>
      <c r="AX9" s="16">
        <v>2</v>
      </c>
      <c r="AY9" s="16">
        <v>2</v>
      </c>
      <c r="AZ9" s="16">
        <v>2</v>
      </c>
      <c r="BA9" s="16">
        <v>1</v>
      </c>
      <c r="BB9" s="16">
        <v>1</v>
      </c>
      <c r="BC9" s="17">
        <v>2</v>
      </c>
      <c r="BD9" s="16">
        <v>2</v>
      </c>
      <c r="BE9" s="17">
        <v>2</v>
      </c>
      <c r="BF9" s="17">
        <v>2</v>
      </c>
      <c r="BG9" s="16">
        <v>2</v>
      </c>
      <c r="BH9" s="16">
        <v>2</v>
      </c>
      <c r="BI9" s="16">
        <v>2</v>
      </c>
      <c r="BJ9" s="16">
        <v>1</v>
      </c>
    </row>
    <row r="10" spans="1:62" ht="21" customHeight="1" x14ac:dyDescent="0.25">
      <c r="A10" s="62"/>
      <c r="B10" s="14" t="s">
        <v>64</v>
      </c>
      <c r="C10" s="15"/>
      <c r="D10" s="16">
        <v>1</v>
      </c>
      <c r="E10" s="16">
        <v>2</v>
      </c>
      <c r="F10" s="16">
        <v>1</v>
      </c>
      <c r="G10" s="17">
        <v>0</v>
      </c>
      <c r="H10" s="16">
        <v>1</v>
      </c>
      <c r="I10" s="16">
        <v>1</v>
      </c>
      <c r="J10" s="16">
        <v>1</v>
      </c>
      <c r="K10" s="16">
        <v>0</v>
      </c>
      <c r="L10" s="16">
        <v>0</v>
      </c>
      <c r="M10" s="16">
        <v>1</v>
      </c>
      <c r="N10" s="16">
        <v>0</v>
      </c>
      <c r="O10" s="16">
        <v>0</v>
      </c>
      <c r="P10" s="16">
        <v>1</v>
      </c>
      <c r="Q10" s="16">
        <v>0</v>
      </c>
      <c r="R10" s="17">
        <v>0</v>
      </c>
      <c r="S10" s="16">
        <v>0</v>
      </c>
      <c r="T10" s="16">
        <v>0</v>
      </c>
      <c r="U10" s="16">
        <v>0</v>
      </c>
      <c r="V10" s="16">
        <v>1</v>
      </c>
      <c r="W10" s="16">
        <v>0</v>
      </c>
      <c r="X10" s="16">
        <v>1</v>
      </c>
      <c r="Y10" s="16">
        <v>0</v>
      </c>
      <c r="Z10" s="16">
        <v>1</v>
      </c>
      <c r="AA10" s="17">
        <v>1</v>
      </c>
      <c r="AB10" s="16">
        <v>0</v>
      </c>
      <c r="AC10" s="16">
        <v>1</v>
      </c>
      <c r="AD10" s="17">
        <v>1</v>
      </c>
      <c r="AE10" s="17">
        <v>1</v>
      </c>
      <c r="AF10" s="17">
        <v>0</v>
      </c>
      <c r="AG10" s="16">
        <v>0</v>
      </c>
      <c r="AH10" s="16">
        <v>0</v>
      </c>
      <c r="AI10" s="17">
        <v>2</v>
      </c>
      <c r="AJ10" s="16">
        <v>1</v>
      </c>
      <c r="AK10" s="16">
        <v>1</v>
      </c>
      <c r="AL10" s="16">
        <v>0</v>
      </c>
      <c r="AM10" s="16">
        <v>1</v>
      </c>
      <c r="AN10" s="16">
        <v>0</v>
      </c>
      <c r="AO10" s="16">
        <v>1</v>
      </c>
      <c r="AP10" s="17">
        <v>0</v>
      </c>
      <c r="AQ10" s="16">
        <v>1</v>
      </c>
      <c r="AR10" s="17">
        <v>1</v>
      </c>
      <c r="AS10" s="17">
        <v>2</v>
      </c>
      <c r="AT10" s="16">
        <v>0</v>
      </c>
      <c r="AU10" s="17">
        <v>0</v>
      </c>
      <c r="AV10" s="16">
        <v>1</v>
      </c>
      <c r="AW10" s="16">
        <v>0</v>
      </c>
      <c r="AX10" s="16">
        <v>1</v>
      </c>
      <c r="AY10" s="16">
        <v>0</v>
      </c>
      <c r="AZ10" s="16">
        <v>0</v>
      </c>
      <c r="BA10" s="16">
        <v>0</v>
      </c>
      <c r="BB10" s="16">
        <v>2</v>
      </c>
      <c r="BC10" s="17">
        <v>0</v>
      </c>
      <c r="BD10" s="16">
        <v>0</v>
      </c>
      <c r="BE10" s="17">
        <v>1</v>
      </c>
      <c r="BF10" s="17">
        <v>1</v>
      </c>
      <c r="BG10" s="16">
        <v>1</v>
      </c>
      <c r="BH10" s="16">
        <v>1</v>
      </c>
      <c r="BI10" s="16">
        <v>1</v>
      </c>
      <c r="BJ10" s="16">
        <v>0</v>
      </c>
    </row>
    <row r="11" spans="1:62" ht="15.75" x14ac:dyDescent="0.25">
      <c r="A11" s="62"/>
      <c r="B11" s="18">
        <v>46184</v>
      </c>
      <c r="C11" s="60" t="s">
        <v>65</v>
      </c>
      <c r="D11" s="55">
        <f t="shared" ref="D11:BJ11" si="0">IF($C9="",0,IF(AND(D9=$C9,D10=$C10),5,IF(OR(AND(D9-D10&gt;0,$C9-$C10&gt;0),AND(D10-D9&gt;0,$C10-$C9&gt;0),AND(D9-D10=0,$C9-$C10=0)),2,0)+IF(OR(D9=$C9,D10=$C10),1,0)))</f>
        <v>0</v>
      </c>
      <c r="E11" s="55">
        <f t="shared" si="0"/>
        <v>0</v>
      </c>
      <c r="F11" s="55">
        <f t="shared" si="0"/>
        <v>0</v>
      </c>
      <c r="G11" s="55">
        <f t="shared" si="0"/>
        <v>0</v>
      </c>
      <c r="H11" s="55">
        <f t="shared" si="0"/>
        <v>0</v>
      </c>
      <c r="I11" s="55">
        <f t="shared" si="0"/>
        <v>0</v>
      </c>
      <c r="J11" s="55">
        <f t="shared" si="0"/>
        <v>0</v>
      </c>
      <c r="K11" s="55">
        <f t="shared" si="0"/>
        <v>0</v>
      </c>
      <c r="L11" s="55">
        <f t="shared" si="0"/>
        <v>0</v>
      </c>
      <c r="M11" s="55">
        <f t="shared" si="0"/>
        <v>0</v>
      </c>
      <c r="N11" s="55">
        <f t="shared" si="0"/>
        <v>0</v>
      </c>
      <c r="O11" s="55">
        <f t="shared" si="0"/>
        <v>0</v>
      </c>
      <c r="P11" s="55">
        <f t="shared" si="0"/>
        <v>0</v>
      </c>
      <c r="Q11" s="55">
        <f t="shared" si="0"/>
        <v>0</v>
      </c>
      <c r="R11" s="55">
        <f t="shared" si="0"/>
        <v>0</v>
      </c>
      <c r="S11" s="55">
        <f t="shared" si="0"/>
        <v>0</v>
      </c>
      <c r="T11" s="55">
        <f t="shared" si="0"/>
        <v>0</v>
      </c>
      <c r="U11" s="55">
        <f t="shared" si="0"/>
        <v>0</v>
      </c>
      <c r="V11" s="55">
        <f t="shared" si="0"/>
        <v>0</v>
      </c>
      <c r="W11" s="55">
        <f t="shared" si="0"/>
        <v>0</v>
      </c>
      <c r="X11" s="55">
        <f t="shared" si="0"/>
        <v>0</v>
      </c>
      <c r="Y11" s="55">
        <f t="shared" si="0"/>
        <v>0</v>
      </c>
      <c r="Z11" s="55">
        <f t="shared" si="0"/>
        <v>0</v>
      </c>
      <c r="AA11" s="55">
        <f t="shared" si="0"/>
        <v>0</v>
      </c>
      <c r="AB11" s="55">
        <f t="shared" si="0"/>
        <v>0</v>
      </c>
      <c r="AC11" s="55">
        <f t="shared" si="0"/>
        <v>0</v>
      </c>
      <c r="AD11" s="55">
        <f t="shared" si="0"/>
        <v>0</v>
      </c>
      <c r="AE11" s="55">
        <f t="shared" si="0"/>
        <v>0</v>
      </c>
      <c r="AF11" s="55">
        <f t="shared" si="0"/>
        <v>0</v>
      </c>
      <c r="AG11" s="55">
        <f t="shared" si="0"/>
        <v>0</v>
      </c>
      <c r="AH11" s="55">
        <f t="shared" si="0"/>
        <v>0</v>
      </c>
      <c r="AI11" s="55">
        <f t="shared" si="0"/>
        <v>0</v>
      </c>
      <c r="AJ11" s="55">
        <f t="shared" si="0"/>
        <v>0</v>
      </c>
      <c r="AK11" s="55">
        <f t="shared" si="0"/>
        <v>0</v>
      </c>
      <c r="AL11" s="55">
        <f t="shared" si="0"/>
        <v>0</v>
      </c>
      <c r="AM11" s="55">
        <f t="shared" si="0"/>
        <v>0</v>
      </c>
      <c r="AN11" s="55">
        <f t="shared" si="0"/>
        <v>0</v>
      </c>
      <c r="AO11" s="55">
        <f t="shared" si="0"/>
        <v>0</v>
      </c>
      <c r="AP11" s="55">
        <f t="shared" si="0"/>
        <v>0</v>
      </c>
      <c r="AQ11" s="55">
        <f t="shared" ref="AQ11" si="1">IF($C9="",0,IF(AND(AQ9=$C9,AQ10=$C10),5,IF(OR(AND(AQ9-AQ10&gt;0,$C9-$C10&gt;0),AND(AQ10-AQ9&gt;0,$C10-$C9&gt;0),AND(AQ9-AQ10=0,$C9-$C10=0)),2,0)+IF(OR(AQ9=$C9,AQ10=$C10),1,0)))</f>
        <v>0</v>
      </c>
      <c r="AR11" s="55">
        <f t="shared" si="0"/>
        <v>0</v>
      </c>
      <c r="AS11" s="55">
        <f t="shared" si="0"/>
        <v>0</v>
      </c>
      <c r="AT11" s="55">
        <f t="shared" si="0"/>
        <v>0</v>
      </c>
      <c r="AU11" s="55">
        <f t="shared" si="0"/>
        <v>0</v>
      </c>
      <c r="AV11" s="55">
        <f t="shared" si="0"/>
        <v>0</v>
      </c>
      <c r="AW11" s="55">
        <f t="shared" si="0"/>
        <v>0</v>
      </c>
      <c r="AX11" s="55">
        <f t="shared" si="0"/>
        <v>0</v>
      </c>
      <c r="AY11" s="55">
        <f t="shared" si="0"/>
        <v>0</v>
      </c>
      <c r="AZ11" s="55">
        <f t="shared" si="0"/>
        <v>0</v>
      </c>
      <c r="BA11" s="55">
        <f t="shared" si="0"/>
        <v>0</v>
      </c>
      <c r="BB11" s="55">
        <f t="shared" si="0"/>
        <v>0</v>
      </c>
      <c r="BC11" s="55">
        <f t="shared" si="0"/>
        <v>0</v>
      </c>
      <c r="BD11" s="55">
        <f t="shared" si="0"/>
        <v>0</v>
      </c>
      <c r="BE11" s="55">
        <f t="shared" si="0"/>
        <v>0</v>
      </c>
      <c r="BF11" s="55">
        <f t="shared" si="0"/>
        <v>0</v>
      </c>
      <c r="BG11" s="55">
        <f t="shared" si="0"/>
        <v>0</v>
      </c>
      <c r="BH11" s="55">
        <f t="shared" si="0"/>
        <v>0</v>
      </c>
      <c r="BI11" s="55">
        <f t="shared" si="0"/>
        <v>0</v>
      </c>
      <c r="BJ11" s="55">
        <f t="shared" si="0"/>
        <v>0</v>
      </c>
    </row>
    <row r="12" spans="1:62" ht="15.75" x14ac:dyDescent="0.25">
      <c r="A12" s="62"/>
      <c r="B12" s="19">
        <v>0.58333333333333337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</row>
    <row r="13" spans="1:62" ht="15.75" x14ac:dyDescent="0.25">
      <c r="A13" s="13"/>
      <c r="B13" s="13"/>
      <c r="C13" s="13"/>
      <c r="D13" s="2"/>
      <c r="E13" s="2"/>
      <c r="F13" s="2"/>
      <c r="G13" s="2"/>
      <c r="H13" s="3"/>
      <c r="I13" s="3"/>
      <c r="J13" s="3"/>
    </row>
    <row r="14" spans="1:62" ht="21" customHeight="1" x14ac:dyDescent="0.25">
      <c r="A14" s="61">
        <v>2</v>
      </c>
      <c r="B14" s="14" t="s">
        <v>66</v>
      </c>
      <c r="C14" s="15"/>
      <c r="D14" s="16">
        <v>1</v>
      </c>
      <c r="E14" s="16">
        <v>2</v>
      </c>
      <c r="F14" s="16">
        <v>3</v>
      </c>
      <c r="G14" s="17">
        <v>2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3</v>
      </c>
      <c r="R14" s="17">
        <v>1</v>
      </c>
      <c r="S14" s="16">
        <v>2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2</v>
      </c>
      <c r="Z14" s="16">
        <v>1</v>
      </c>
      <c r="AA14" s="17">
        <v>1</v>
      </c>
      <c r="AB14" s="16">
        <v>1</v>
      </c>
      <c r="AC14" s="16">
        <v>1</v>
      </c>
      <c r="AD14" s="17">
        <v>3</v>
      </c>
      <c r="AE14" s="17">
        <v>1</v>
      </c>
      <c r="AF14" s="17">
        <v>2</v>
      </c>
      <c r="AG14" s="16">
        <v>1</v>
      </c>
      <c r="AH14" s="16">
        <v>1</v>
      </c>
      <c r="AI14" s="17">
        <v>2</v>
      </c>
      <c r="AJ14" s="16">
        <v>2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7">
        <v>1</v>
      </c>
      <c r="AQ14" s="16">
        <v>1</v>
      </c>
      <c r="AR14" s="17">
        <v>3</v>
      </c>
      <c r="AS14" s="17">
        <v>1</v>
      </c>
      <c r="AT14" s="16">
        <v>1</v>
      </c>
      <c r="AU14" s="17">
        <v>1</v>
      </c>
      <c r="AV14" s="16">
        <v>0</v>
      </c>
      <c r="AW14" s="16">
        <v>1</v>
      </c>
      <c r="AX14" s="16">
        <v>1</v>
      </c>
      <c r="AY14" s="16">
        <v>1</v>
      </c>
      <c r="AZ14" s="16">
        <v>2</v>
      </c>
      <c r="BA14" s="16">
        <v>2</v>
      </c>
      <c r="BB14" s="16">
        <v>1</v>
      </c>
      <c r="BC14" s="17">
        <v>1</v>
      </c>
      <c r="BD14" s="16">
        <v>2</v>
      </c>
      <c r="BE14" s="17">
        <v>1</v>
      </c>
      <c r="BF14" s="17">
        <v>2</v>
      </c>
      <c r="BG14" s="16">
        <v>1</v>
      </c>
      <c r="BH14" s="17">
        <v>1</v>
      </c>
      <c r="BI14" s="16">
        <v>0</v>
      </c>
      <c r="BJ14" s="16">
        <v>2</v>
      </c>
    </row>
    <row r="15" spans="1:62" ht="20.25" customHeight="1" x14ac:dyDescent="0.25">
      <c r="A15" s="62"/>
      <c r="B15" s="14" t="s">
        <v>67</v>
      </c>
      <c r="C15" s="15"/>
      <c r="D15" s="16">
        <v>1</v>
      </c>
      <c r="E15" s="16">
        <v>2</v>
      </c>
      <c r="F15" s="16">
        <v>2</v>
      </c>
      <c r="G15" s="17">
        <v>1</v>
      </c>
      <c r="H15" s="16">
        <v>1</v>
      </c>
      <c r="I15" s="16">
        <v>2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0</v>
      </c>
      <c r="Q15" s="16">
        <v>1</v>
      </c>
      <c r="R15" s="17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7">
        <v>1</v>
      </c>
      <c r="AB15" s="16">
        <v>1</v>
      </c>
      <c r="AC15" s="16">
        <v>1</v>
      </c>
      <c r="AD15" s="17">
        <v>1</v>
      </c>
      <c r="AE15" s="17">
        <v>1</v>
      </c>
      <c r="AF15" s="17">
        <v>1</v>
      </c>
      <c r="AG15" s="16">
        <v>1</v>
      </c>
      <c r="AH15" s="16">
        <v>1</v>
      </c>
      <c r="AI15" s="17">
        <v>2</v>
      </c>
      <c r="AJ15" s="16">
        <v>0</v>
      </c>
      <c r="AK15" s="16">
        <v>1</v>
      </c>
      <c r="AL15" s="16">
        <v>0</v>
      </c>
      <c r="AM15" s="16">
        <v>2</v>
      </c>
      <c r="AN15" s="16">
        <v>1</v>
      </c>
      <c r="AO15" s="16">
        <v>2</v>
      </c>
      <c r="AP15" s="17">
        <v>1</v>
      </c>
      <c r="AQ15" s="16">
        <v>1</v>
      </c>
      <c r="AR15" s="17">
        <v>1</v>
      </c>
      <c r="AS15" s="17">
        <v>1</v>
      </c>
      <c r="AT15" s="16">
        <v>1</v>
      </c>
      <c r="AU15" s="17">
        <v>1</v>
      </c>
      <c r="AV15" s="16">
        <v>2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0</v>
      </c>
      <c r="BC15" s="17">
        <v>1</v>
      </c>
      <c r="BD15" s="16">
        <v>1</v>
      </c>
      <c r="BE15" s="17">
        <v>0</v>
      </c>
      <c r="BF15" s="17">
        <v>1</v>
      </c>
      <c r="BG15" s="16">
        <v>1</v>
      </c>
      <c r="BH15" s="16">
        <v>0</v>
      </c>
      <c r="BI15" s="16">
        <v>2</v>
      </c>
      <c r="BJ15" s="16">
        <v>0</v>
      </c>
    </row>
    <row r="16" spans="1:62" ht="15.75" x14ac:dyDescent="0.25">
      <c r="A16" s="62"/>
      <c r="B16" s="18">
        <v>46184</v>
      </c>
      <c r="C16" s="60" t="s">
        <v>65</v>
      </c>
      <c r="D16" s="55">
        <f t="shared" ref="D16:BJ16" si="2">IF($C14="",0,IF(AND(D14=$C14,D15=$C15),5,IF(OR(AND(D14-D15&gt;0,$C14-$C15&gt;0),AND(D15-D14&gt;0,$C15-$C14&gt;0),AND(D14-D15=0,$C14-$C15=0)),2,0)+IF(OR(D14=$C14,D15=$C15),1,0)))</f>
        <v>0</v>
      </c>
      <c r="E16" s="55">
        <f t="shared" si="2"/>
        <v>0</v>
      </c>
      <c r="F16" s="55">
        <f t="shared" si="2"/>
        <v>0</v>
      </c>
      <c r="G16" s="55">
        <f t="shared" si="2"/>
        <v>0</v>
      </c>
      <c r="H16" s="55">
        <f t="shared" si="2"/>
        <v>0</v>
      </c>
      <c r="I16" s="55">
        <f t="shared" si="2"/>
        <v>0</v>
      </c>
      <c r="J16" s="55">
        <f t="shared" si="2"/>
        <v>0</v>
      </c>
      <c r="K16" s="55">
        <f t="shared" si="2"/>
        <v>0</v>
      </c>
      <c r="L16" s="55">
        <f t="shared" si="2"/>
        <v>0</v>
      </c>
      <c r="M16" s="55">
        <f t="shared" si="2"/>
        <v>0</v>
      </c>
      <c r="N16" s="55">
        <f t="shared" si="2"/>
        <v>0</v>
      </c>
      <c r="O16" s="55">
        <f t="shared" si="2"/>
        <v>0</v>
      </c>
      <c r="P16" s="55">
        <f t="shared" si="2"/>
        <v>0</v>
      </c>
      <c r="Q16" s="55">
        <f t="shared" si="2"/>
        <v>0</v>
      </c>
      <c r="R16" s="55">
        <f t="shared" si="2"/>
        <v>0</v>
      </c>
      <c r="S16" s="55">
        <f t="shared" si="2"/>
        <v>0</v>
      </c>
      <c r="T16" s="55">
        <f t="shared" si="2"/>
        <v>0</v>
      </c>
      <c r="U16" s="55">
        <f t="shared" si="2"/>
        <v>0</v>
      </c>
      <c r="V16" s="55">
        <f t="shared" si="2"/>
        <v>0</v>
      </c>
      <c r="W16" s="55">
        <f t="shared" si="2"/>
        <v>0</v>
      </c>
      <c r="X16" s="55">
        <f t="shared" si="2"/>
        <v>0</v>
      </c>
      <c r="Y16" s="55">
        <f t="shared" si="2"/>
        <v>0</v>
      </c>
      <c r="Z16" s="55">
        <f t="shared" si="2"/>
        <v>0</v>
      </c>
      <c r="AA16" s="55">
        <f t="shared" si="2"/>
        <v>0</v>
      </c>
      <c r="AB16" s="55">
        <f t="shared" si="2"/>
        <v>0</v>
      </c>
      <c r="AC16" s="55">
        <f t="shared" si="2"/>
        <v>0</v>
      </c>
      <c r="AD16" s="55">
        <f t="shared" si="2"/>
        <v>0</v>
      </c>
      <c r="AE16" s="55">
        <f t="shared" si="2"/>
        <v>0</v>
      </c>
      <c r="AF16" s="55">
        <f t="shared" si="2"/>
        <v>0</v>
      </c>
      <c r="AG16" s="55">
        <f t="shared" si="2"/>
        <v>0</v>
      </c>
      <c r="AH16" s="55">
        <f t="shared" si="2"/>
        <v>0</v>
      </c>
      <c r="AI16" s="55">
        <f t="shared" si="2"/>
        <v>0</v>
      </c>
      <c r="AJ16" s="55">
        <f t="shared" si="2"/>
        <v>0</v>
      </c>
      <c r="AK16" s="55">
        <f t="shared" si="2"/>
        <v>0</v>
      </c>
      <c r="AL16" s="55">
        <f t="shared" si="2"/>
        <v>0</v>
      </c>
      <c r="AM16" s="55">
        <f t="shared" si="2"/>
        <v>0</v>
      </c>
      <c r="AN16" s="55">
        <f t="shared" si="2"/>
        <v>0</v>
      </c>
      <c r="AO16" s="55">
        <f t="shared" si="2"/>
        <v>0</v>
      </c>
      <c r="AP16" s="55">
        <f t="shared" si="2"/>
        <v>0</v>
      </c>
      <c r="AQ16" s="55">
        <f t="shared" ref="AQ16" si="3">IF($C14="",0,IF(AND(AQ14=$C14,AQ15=$C15),5,IF(OR(AND(AQ14-AQ15&gt;0,$C14-$C15&gt;0),AND(AQ15-AQ14&gt;0,$C15-$C14&gt;0),AND(AQ14-AQ15=0,$C14-$C15=0)),2,0)+IF(OR(AQ14=$C14,AQ15=$C15),1,0)))</f>
        <v>0</v>
      </c>
      <c r="AR16" s="55">
        <f t="shared" si="2"/>
        <v>0</v>
      </c>
      <c r="AS16" s="55">
        <f t="shared" si="2"/>
        <v>0</v>
      </c>
      <c r="AT16" s="55">
        <f t="shared" si="2"/>
        <v>0</v>
      </c>
      <c r="AU16" s="55">
        <f t="shared" si="2"/>
        <v>0</v>
      </c>
      <c r="AV16" s="55">
        <f t="shared" si="2"/>
        <v>0</v>
      </c>
      <c r="AW16" s="55">
        <f t="shared" si="2"/>
        <v>0</v>
      </c>
      <c r="AX16" s="55">
        <f t="shared" si="2"/>
        <v>0</v>
      </c>
      <c r="AY16" s="55">
        <f t="shared" si="2"/>
        <v>0</v>
      </c>
      <c r="AZ16" s="55">
        <f t="shared" si="2"/>
        <v>0</v>
      </c>
      <c r="BA16" s="55">
        <f t="shared" si="2"/>
        <v>0</v>
      </c>
      <c r="BB16" s="55">
        <f t="shared" si="2"/>
        <v>0</v>
      </c>
      <c r="BC16" s="55">
        <f t="shared" si="2"/>
        <v>0</v>
      </c>
      <c r="BD16" s="55">
        <f t="shared" si="2"/>
        <v>0</v>
      </c>
      <c r="BE16" s="55">
        <f t="shared" si="2"/>
        <v>0</v>
      </c>
      <c r="BF16" s="55">
        <f t="shared" si="2"/>
        <v>0</v>
      </c>
      <c r="BG16" s="55">
        <f t="shared" si="2"/>
        <v>0</v>
      </c>
      <c r="BH16" s="55">
        <f t="shared" si="2"/>
        <v>0</v>
      </c>
      <c r="BI16" s="55">
        <f t="shared" si="2"/>
        <v>0</v>
      </c>
      <c r="BJ16" s="55">
        <f t="shared" si="2"/>
        <v>0</v>
      </c>
    </row>
    <row r="17" spans="1:62" ht="15.75" x14ac:dyDescent="0.25">
      <c r="A17" s="62"/>
      <c r="B17" s="19">
        <v>0.79166666666666663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</row>
    <row r="18" spans="1:62" ht="15.75" x14ac:dyDescent="0.25">
      <c r="A18" s="13"/>
      <c r="B18" s="13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</row>
    <row r="19" spans="1:62" ht="23.25" customHeight="1" x14ac:dyDescent="0.25">
      <c r="A19" s="61">
        <v>25</v>
      </c>
      <c r="B19" s="14" t="s">
        <v>68</v>
      </c>
      <c r="C19" s="15"/>
      <c r="D19" s="16">
        <v>2</v>
      </c>
      <c r="E19" s="16">
        <v>1</v>
      </c>
      <c r="F19" s="16">
        <v>0</v>
      </c>
      <c r="G19" s="17">
        <v>2</v>
      </c>
      <c r="H19" s="16">
        <v>1</v>
      </c>
      <c r="I19" s="16">
        <v>3</v>
      </c>
      <c r="J19" s="16">
        <v>1</v>
      </c>
      <c r="K19" s="16">
        <v>2</v>
      </c>
      <c r="L19" s="16">
        <v>2</v>
      </c>
      <c r="M19" s="16">
        <v>2</v>
      </c>
      <c r="N19" s="16">
        <v>1</v>
      </c>
      <c r="O19" s="16">
        <v>2</v>
      </c>
      <c r="P19" s="16">
        <v>1</v>
      </c>
      <c r="Q19" s="16">
        <v>1</v>
      </c>
      <c r="R19" s="17">
        <v>1</v>
      </c>
      <c r="S19" s="16">
        <v>1</v>
      </c>
      <c r="T19" s="16">
        <v>1</v>
      </c>
      <c r="U19" s="16">
        <v>1</v>
      </c>
      <c r="V19" s="16">
        <v>2</v>
      </c>
      <c r="W19" s="16">
        <v>4</v>
      </c>
      <c r="X19" s="16">
        <v>1</v>
      </c>
      <c r="Y19" s="16">
        <v>2</v>
      </c>
      <c r="Z19" s="16">
        <v>1</v>
      </c>
      <c r="AA19" s="17">
        <v>2</v>
      </c>
      <c r="AB19" s="16">
        <v>2</v>
      </c>
      <c r="AC19" s="16">
        <v>1</v>
      </c>
      <c r="AD19" s="17">
        <v>0</v>
      </c>
      <c r="AE19" s="17">
        <v>1</v>
      </c>
      <c r="AF19" s="17">
        <v>1</v>
      </c>
      <c r="AG19" s="16">
        <v>2</v>
      </c>
      <c r="AH19" s="16">
        <v>1</v>
      </c>
      <c r="AI19" s="17">
        <v>1</v>
      </c>
      <c r="AJ19" s="16">
        <v>0</v>
      </c>
      <c r="AK19" s="16">
        <v>1</v>
      </c>
      <c r="AL19" s="16">
        <v>0</v>
      </c>
      <c r="AM19" s="16">
        <v>2</v>
      </c>
      <c r="AN19" s="16">
        <v>2</v>
      </c>
      <c r="AO19" s="16">
        <v>2</v>
      </c>
      <c r="AP19" s="17">
        <v>1</v>
      </c>
      <c r="AQ19" s="16">
        <v>1</v>
      </c>
      <c r="AR19" s="17">
        <v>2</v>
      </c>
      <c r="AS19" s="17">
        <v>0</v>
      </c>
      <c r="AT19" s="16">
        <v>1</v>
      </c>
      <c r="AU19" s="17">
        <v>2</v>
      </c>
      <c r="AV19" s="16">
        <v>1</v>
      </c>
      <c r="AW19" s="16">
        <v>2</v>
      </c>
      <c r="AX19" s="16">
        <v>2</v>
      </c>
      <c r="AY19" s="16">
        <v>2</v>
      </c>
      <c r="AZ19" s="16">
        <v>2</v>
      </c>
      <c r="BA19" s="16">
        <v>1</v>
      </c>
      <c r="BB19" s="16">
        <v>0</v>
      </c>
      <c r="BC19" s="17">
        <v>2</v>
      </c>
      <c r="BD19" s="16">
        <v>2</v>
      </c>
      <c r="BE19" s="17">
        <v>2</v>
      </c>
      <c r="BF19" s="17">
        <v>1</v>
      </c>
      <c r="BG19" s="16">
        <v>2</v>
      </c>
      <c r="BH19" s="17">
        <v>1</v>
      </c>
      <c r="BI19" s="16">
        <v>1</v>
      </c>
      <c r="BJ19" s="16">
        <v>1</v>
      </c>
    </row>
    <row r="20" spans="1:62" ht="22.5" customHeight="1" x14ac:dyDescent="0.25">
      <c r="A20" s="62"/>
      <c r="B20" s="14" t="s">
        <v>64</v>
      </c>
      <c r="C20" s="15"/>
      <c r="D20" s="16">
        <v>0</v>
      </c>
      <c r="E20" s="16">
        <v>1</v>
      </c>
      <c r="F20" s="16">
        <v>0</v>
      </c>
      <c r="G20" s="17">
        <v>0</v>
      </c>
      <c r="H20" s="16">
        <v>1</v>
      </c>
      <c r="I20" s="16">
        <v>2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1</v>
      </c>
      <c r="P20" s="16">
        <v>1</v>
      </c>
      <c r="Q20" s="16">
        <v>1</v>
      </c>
      <c r="R20" s="17">
        <v>0</v>
      </c>
      <c r="S20" s="16">
        <v>0</v>
      </c>
      <c r="T20" s="16">
        <v>0</v>
      </c>
      <c r="U20" s="16">
        <v>0</v>
      </c>
      <c r="V20" s="16">
        <v>1</v>
      </c>
      <c r="W20" s="16">
        <v>1</v>
      </c>
      <c r="X20" s="16">
        <v>0</v>
      </c>
      <c r="Y20" s="16">
        <v>0</v>
      </c>
      <c r="Z20" s="16">
        <v>2</v>
      </c>
      <c r="AA20" s="17">
        <v>0</v>
      </c>
      <c r="AB20" s="16">
        <v>0</v>
      </c>
      <c r="AC20" s="16">
        <v>1</v>
      </c>
      <c r="AD20" s="17">
        <v>2</v>
      </c>
      <c r="AE20" s="17">
        <v>0</v>
      </c>
      <c r="AF20" s="17">
        <v>1</v>
      </c>
      <c r="AG20" s="16">
        <v>1</v>
      </c>
      <c r="AH20" s="16">
        <v>0</v>
      </c>
      <c r="AI20" s="17">
        <v>1</v>
      </c>
      <c r="AJ20" s="16">
        <v>2</v>
      </c>
      <c r="AK20" s="16">
        <v>0</v>
      </c>
      <c r="AL20" s="16">
        <v>1</v>
      </c>
      <c r="AM20" s="16">
        <v>2</v>
      </c>
      <c r="AN20" s="16">
        <v>0</v>
      </c>
      <c r="AO20" s="16">
        <v>0</v>
      </c>
      <c r="AP20" s="17">
        <v>0</v>
      </c>
      <c r="AQ20" s="16">
        <v>0</v>
      </c>
      <c r="AR20" s="17">
        <v>2</v>
      </c>
      <c r="AS20" s="17">
        <v>1</v>
      </c>
      <c r="AT20" s="16">
        <v>0</v>
      </c>
      <c r="AU20" s="17">
        <v>1</v>
      </c>
      <c r="AV20" s="16">
        <v>1</v>
      </c>
      <c r="AW20" s="16">
        <v>1</v>
      </c>
      <c r="AX20" s="16">
        <v>0</v>
      </c>
      <c r="AY20" s="16">
        <v>1</v>
      </c>
      <c r="AZ20" s="16">
        <v>2</v>
      </c>
      <c r="BA20" s="16">
        <v>1</v>
      </c>
      <c r="BB20" s="16">
        <v>3</v>
      </c>
      <c r="BC20" s="17">
        <v>0</v>
      </c>
      <c r="BD20" s="16">
        <v>1</v>
      </c>
      <c r="BE20" s="17">
        <v>1</v>
      </c>
      <c r="BF20" s="17">
        <v>0</v>
      </c>
      <c r="BG20" s="16">
        <v>1</v>
      </c>
      <c r="BH20" s="17">
        <v>1</v>
      </c>
      <c r="BI20" s="16">
        <v>1</v>
      </c>
      <c r="BJ20" s="16">
        <v>1</v>
      </c>
    </row>
    <row r="21" spans="1:62" ht="15.75" customHeight="1" x14ac:dyDescent="0.25">
      <c r="A21" s="62"/>
      <c r="B21" s="18">
        <v>46191</v>
      </c>
      <c r="C21" s="60" t="s">
        <v>65</v>
      </c>
      <c r="D21" s="55">
        <f t="shared" ref="D21:BJ21" si="4">IF($C19="",0,IF(AND(D19=$C19,D20=$C20),5,IF(OR(AND(D19-D20&gt;0,$C19-$C20&gt;0),AND(D20-D19&gt;0,$C20-$C19&gt;0),AND(D19-D20=0,$C19-$C20=0)),2,0)+IF(OR(D19=$C19,D20=$C20),1,0)))</f>
        <v>0</v>
      </c>
      <c r="E21" s="55">
        <f t="shared" si="4"/>
        <v>0</v>
      </c>
      <c r="F21" s="55">
        <f t="shared" si="4"/>
        <v>0</v>
      </c>
      <c r="G21" s="55">
        <f t="shared" si="4"/>
        <v>0</v>
      </c>
      <c r="H21" s="55">
        <f t="shared" si="4"/>
        <v>0</v>
      </c>
      <c r="I21" s="55">
        <f t="shared" si="4"/>
        <v>0</v>
      </c>
      <c r="J21" s="55">
        <f t="shared" si="4"/>
        <v>0</v>
      </c>
      <c r="K21" s="55">
        <f t="shared" si="4"/>
        <v>0</v>
      </c>
      <c r="L21" s="55">
        <f t="shared" si="4"/>
        <v>0</v>
      </c>
      <c r="M21" s="55">
        <f t="shared" si="4"/>
        <v>0</v>
      </c>
      <c r="N21" s="55">
        <f t="shared" si="4"/>
        <v>0</v>
      </c>
      <c r="O21" s="55">
        <f t="shared" si="4"/>
        <v>0</v>
      </c>
      <c r="P21" s="55">
        <f t="shared" si="4"/>
        <v>0</v>
      </c>
      <c r="Q21" s="55">
        <f t="shared" si="4"/>
        <v>0</v>
      </c>
      <c r="R21" s="55">
        <f t="shared" si="4"/>
        <v>0</v>
      </c>
      <c r="S21" s="55">
        <f t="shared" si="4"/>
        <v>0</v>
      </c>
      <c r="T21" s="55">
        <f t="shared" si="4"/>
        <v>0</v>
      </c>
      <c r="U21" s="55">
        <f t="shared" si="4"/>
        <v>0</v>
      </c>
      <c r="V21" s="55">
        <f t="shared" si="4"/>
        <v>0</v>
      </c>
      <c r="W21" s="55">
        <f t="shared" si="4"/>
        <v>0</v>
      </c>
      <c r="X21" s="55">
        <f t="shared" si="4"/>
        <v>0</v>
      </c>
      <c r="Y21" s="55">
        <f t="shared" si="4"/>
        <v>0</v>
      </c>
      <c r="Z21" s="55">
        <f t="shared" si="4"/>
        <v>0</v>
      </c>
      <c r="AA21" s="55">
        <f t="shared" si="4"/>
        <v>0</v>
      </c>
      <c r="AB21" s="55">
        <f t="shared" si="4"/>
        <v>0</v>
      </c>
      <c r="AC21" s="55">
        <f t="shared" si="4"/>
        <v>0</v>
      </c>
      <c r="AD21" s="55">
        <f t="shared" si="4"/>
        <v>0</v>
      </c>
      <c r="AE21" s="55">
        <f t="shared" si="4"/>
        <v>0</v>
      </c>
      <c r="AF21" s="55">
        <f t="shared" si="4"/>
        <v>0</v>
      </c>
      <c r="AG21" s="55">
        <f t="shared" si="4"/>
        <v>0</v>
      </c>
      <c r="AH21" s="55">
        <f t="shared" si="4"/>
        <v>0</v>
      </c>
      <c r="AI21" s="55">
        <f t="shared" si="4"/>
        <v>0</v>
      </c>
      <c r="AJ21" s="55">
        <f t="shared" si="4"/>
        <v>0</v>
      </c>
      <c r="AK21" s="55">
        <f t="shared" si="4"/>
        <v>0</v>
      </c>
      <c r="AL21" s="55">
        <f t="shared" si="4"/>
        <v>0</v>
      </c>
      <c r="AM21" s="55">
        <f t="shared" si="4"/>
        <v>0</v>
      </c>
      <c r="AN21" s="55">
        <f t="shared" si="4"/>
        <v>0</v>
      </c>
      <c r="AO21" s="55">
        <f t="shared" si="4"/>
        <v>0</v>
      </c>
      <c r="AP21" s="55">
        <f t="shared" si="4"/>
        <v>0</v>
      </c>
      <c r="AQ21" s="55">
        <f t="shared" ref="AQ21" si="5">IF($C19="",0,IF(AND(AQ19=$C19,AQ20=$C20),5,IF(OR(AND(AQ19-AQ20&gt;0,$C19-$C20&gt;0),AND(AQ20-AQ19&gt;0,$C20-$C19&gt;0),AND(AQ19-AQ20=0,$C19-$C20=0)),2,0)+IF(OR(AQ19=$C19,AQ20=$C20),1,0)))</f>
        <v>0</v>
      </c>
      <c r="AR21" s="55">
        <f t="shared" si="4"/>
        <v>0</v>
      </c>
      <c r="AS21" s="55">
        <f t="shared" si="4"/>
        <v>0</v>
      </c>
      <c r="AT21" s="55">
        <f t="shared" si="4"/>
        <v>0</v>
      </c>
      <c r="AU21" s="55">
        <f t="shared" si="4"/>
        <v>0</v>
      </c>
      <c r="AV21" s="55">
        <f t="shared" si="4"/>
        <v>0</v>
      </c>
      <c r="AW21" s="55">
        <f t="shared" si="4"/>
        <v>0</v>
      </c>
      <c r="AX21" s="55">
        <f t="shared" si="4"/>
        <v>0</v>
      </c>
      <c r="AY21" s="55">
        <f t="shared" si="4"/>
        <v>0</v>
      </c>
      <c r="AZ21" s="55">
        <f t="shared" si="4"/>
        <v>0</v>
      </c>
      <c r="BA21" s="55">
        <f t="shared" si="4"/>
        <v>0</v>
      </c>
      <c r="BB21" s="55">
        <f t="shared" si="4"/>
        <v>0</v>
      </c>
      <c r="BC21" s="55">
        <f t="shared" si="4"/>
        <v>0</v>
      </c>
      <c r="BD21" s="55">
        <f t="shared" si="4"/>
        <v>0</v>
      </c>
      <c r="BE21" s="55">
        <f t="shared" si="4"/>
        <v>0</v>
      </c>
      <c r="BF21" s="55">
        <f t="shared" si="4"/>
        <v>0</v>
      </c>
      <c r="BG21" s="55">
        <f t="shared" si="4"/>
        <v>0</v>
      </c>
      <c r="BH21" s="55">
        <f t="shared" si="4"/>
        <v>0</v>
      </c>
      <c r="BI21" s="55">
        <f t="shared" si="4"/>
        <v>0</v>
      </c>
      <c r="BJ21" s="55">
        <f t="shared" si="4"/>
        <v>0</v>
      </c>
    </row>
    <row r="22" spans="1:62" ht="15.75" customHeight="1" x14ac:dyDescent="0.25">
      <c r="A22" s="62"/>
      <c r="B22" s="19">
        <v>0.45833333333333331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</row>
    <row r="23" spans="1:62" ht="15.75" customHeight="1" x14ac:dyDescent="0.25">
      <c r="A23" s="13"/>
      <c r="B23" s="1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</row>
    <row r="24" spans="1:62" ht="21.75" customHeight="1" x14ac:dyDescent="0.25">
      <c r="A24" s="61">
        <v>28</v>
      </c>
      <c r="B24" s="14" t="s">
        <v>63</v>
      </c>
      <c r="C24" s="22"/>
      <c r="D24" s="16">
        <v>2</v>
      </c>
      <c r="E24" s="16">
        <v>1</v>
      </c>
      <c r="F24" s="16">
        <v>2</v>
      </c>
      <c r="G24" s="17">
        <v>2</v>
      </c>
      <c r="H24" s="16">
        <v>2</v>
      </c>
      <c r="I24" s="16">
        <v>4</v>
      </c>
      <c r="J24" s="16">
        <v>2</v>
      </c>
      <c r="K24" s="16">
        <v>1</v>
      </c>
      <c r="L24" s="16">
        <v>1</v>
      </c>
      <c r="M24" s="16">
        <v>2</v>
      </c>
      <c r="N24" s="16">
        <v>2</v>
      </c>
      <c r="O24" s="16">
        <v>2</v>
      </c>
      <c r="P24" s="16">
        <v>1</v>
      </c>
      <c r="Q24" s="16">
        <v>2</v>
      </c>
      <c r="R24" s="17">
        <v>2</v>
      </c>
      <c r="S24" s="16">
        <v>2</v>
      </c>
      <c r="T24" s="16">
        <v>2</v>
      </c>
      <c r="U24" s="16">
        <v>2</v>
      </c>
      <c r="V24" s="16">
        <v>2</v>
      </c>
      <c r="W24" s="16">
        <v>0</v>
      </c>
      <c r="X24" s="16">
        <v>0</v>
      </c>
      <c r="Y24" s="16">
        <v>2</v>
      </c>
      <c r="Z24" s="16">
        <v>2</v>
      </c>
      <c r="AA24" s="17">
        <v>0</v>
      </c>
      <c r="AB24" s="16">
        <v>2</v>
      </c>
      <c r="AC24" s="16">
        <v>1</v>
      </c>
      <c r="AD24" s="17">
        <v>2</v>
      </c>
      <c r="AE24" s="17">
        <v>1</v>
      </c>
      <c r="AF24" s="17">
        <v>2</v>
      </c>
      <c r="AG24" s="16">
        <v>2</v>
      </c>
      <c r="AH24" s="16">
        <v>2</v>
      </c>
      <c r="AI24" s="17">
        <v>2</v>
      </c>
      <c r="AJ24" s="16">
        <v>2</v>
      </c>
      <c r="AK24" s="16">
        <v>1</v>
      </c>
      <c r="AL24" s="16">
        <v>0</v>
      </c>
      <c r="AM24" s="16">
        <v>1</v>
      </c>
      <c r="AN24" s="16">
        <v>2</v>
      </c>
      <c r="AO24" s="16">
        <v>2</v>
      </c>
      <c r="AP24" s="17">
        <v>1</v>
      </c>
      <c r="AQ24" s="16">
        <v>2</v>
      </c>
      <c r="AR24" s="17">
        <v>0</v>
      </c>
      <c r="AS24" s="17">
        <v>1</v>
      </c>
      <c r="AT24" s="16">
        <v>1</v>
      </c>
      <c r="AU24" s="17">
        <v>2</v>
      </c>
      <c r="AV24" s="16">
        <v>3</v>
      </c>
      <c r="AW24" s="16">
        <v>3</v>
      </c>
      <c r="AX24" s="16">
        <v>2</v>
      </c>
      <c r="AY24" s="16">
        <v>1</v>
      </c>
      <c r="AZ24" s="16">
        <v>1</v>
      </c>
      <c r="BA24" s="16">
        <v>1</v>
      </c>
      <c r="BB24" s="16">
        <v>2</v>
      </c>
      <c r="BC24" s="17">
        <v>2</v>
      </c>
      <c r="BD24" s="16">
        <v>2</v>
      </c>
      <c r="BE24" s="17">
        <v>1</v>
      </c>
      <c r="BF24" s="17">
        <v>2</v>
      </c>
      <c r="BG24" s="16">
        <v>1</v>
      </c>
      <c r="BH24" s="17">
        <v>2</v>
      </c>
      <c r="BI24" s="16">
        <v>1</v>
      </c>
      <c r="BJ24" s="16">
        <v>1</v>
      </c>
    </row>
    <row r="25" spans="1:62" ht="24" customHeight="1" x14ac:dyDescent="0.25">
      <c r="A25" s="62"/>
      <c r="B25" s="14" t="s">
        <v>69</v>
      </c>
      <c r="C25" s="22"/>
      <c r="D25" s="16">
        <v>1</v>
      </c>
      <c r="E25" s="16">
        <v>1</v>
      </c>
      <c r="F25" s="16">
        <v>1</v>
      </c>
      <c r="G25" s="17">
        <v>1</v>
      </c>
      <c r="H25" s="16">
        <v>0</v>
      </c>
      <c r="I25" s="16">
        <v>1</v>
      </c>
      <c r="J25" s="16">
        <v>0</v>
      </c>
      <c r="K25" s="16">
        <v>1</v>
      </c>
      <c r="L25" s="16">
        <v>1</v>
      </c>
      <c r="M25" s="16">
        <v>2</v>
      </c>
      <c r="N25" s="16">
        <v>1</v>
      </c>
      <c r="O25" s="16">
        <v>1</v>
      </c>
      <c r="P25" s="16">
        <v>0</v>
      </c>
      <c r="Q25" s="16">
        <v>1</v>
      </c>
      <c r="R25" s="17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2</v>
      </c>
      <c r="Y25" s="16">
        <v>1</v>
      </c>
      <c r="Z25" s="16">
        <v>0</v>
      </c>
      <c r="AA25" s="17">
        <v>0</v>
      </c>
      <c r="AB25" s="16">
        <v>1</v>
      </c>
      <c r="AC25" s="16">
        <v>0</v>
      </c>
      <c r="AD25" s="17">
        <v>2</v>
      </c>
      <c r="AE25" s="17">
        <v>1</v>
      </c>
      <c r="AF25" s="17">
        <v>1</v>
      </c>
      <c r="AG25" s="16">
        <v>1</v>
      </c>
      <c r="AH25" s="16">
        <v>1</v>
      </c>
      <c r="AI25" s="17">
        <v>1</v>
      </c>
      <c r="AJ25" s="16">
        <v>2</v>
      </c>
      <c r="AK25" s="16">
        <v>1</v>
      </c>
      <c r="AL25" s="16">
        <v>2</v>
      </c>
      <c r="AM25" s="16">
        <v>0</v>
      </c>
      <c r="AN25" s="16">
        <v>1</v>
      </c>
      <c r="AO25" s="16">
        <v>1</v>
      </c>
      <c r="AP25" s="17">
        <v>1</v>
      </c>
      <c r="AQ25" s="16">
        <v>0</v>
      </c>
      <c r="AR25" s="17">
        <v>1</v>
      </c>
      <c r="AS25" s="17">
        <v>2</v>
      </c>
      <c r="AT25" s="16">
        <v>2</v>
      </c>
      <c r="AU25" s="17">
        <v>1</v>
      </c>
      <c r="AV25" s="16">
        <v>1</v>
      </c>
      <c r="AW25" s="16">
        <v>0</v>
      </c>
      <c r="AX25" s="16">
        <v>0</v>
      </c>
      <c r="AY25" s="16">
        <v>1</v>
      </c>
      <c r="AZ25" s="16">
        <v>1</v>
      </c>
      <c r="BA25" s="16">
        <v>1</v>
      </c>
      <c r="BB25" s="16">
        <v>0</v>
      </c>
      <c r="BC25" s="17">
        <v>1</v>
      </c>
      <c r="BD25" s="16">
        <v>2</v>
      </c>
      <c r="BE25" s="17">
        <v>0</v>
      </c>
      <c r="BF25" s="17">
        <v>1</v>
      </c>
      <c r="BG25" s="16">
        <v>0</v>
      </c>
      <c r="BH25" s="16">
        <v>2</v>
      </c>
      <c r="BI25" s="16">
        <v>1</v>
      </c>
      <c r="BJ25" s="16">
        <v>2</v>
      </c>
    </row>
    <row r="26" spans="1:62" ht="15.75" customHeight="1" x14ac:dyDescent="0.25">
      <c r="A26" s="62"/>
      <c r="B26" s="18">
        <v>46191</v>
      </c>
      <c r="C26" s="60" t="s">
        <v>65</v>
      </c>
      <c r="D26" s="55">
        <f t="shared" ref="D26:BJ26" si="6">IF($C24="",0,IF(AND(D24=$C24,D25=$C25),5,IF(OR(AND(D24-D25&gt;0,$C24-$C25&gt;0),AND(D25-D24&gt;0,$C25-$C24&gt;0),AND(D24-D25=0,$C24-$C25=0)),2,0)+IF(OR(D24=$C24,D25=$C25),1,0)))</f>
        <v>0</v>
      </c>
      <c r="E26" s="55">
        <f t="shared" si="6"/>
        <v>0</v>
      </c>
      <c r="F26" s="55">
        <f t="shared" si="6"/>
        <v>0</v>
      </c>
      <c r="G26" s="55">
        <f t="shared" si="6"/>
        <v>0</v>
      </c>
      <c r="H26" s="55">
        <f t="shared" si="6"/>
        <v>0</v>
      </c>
      <c r="I26" s="55">
        <f t="shared" si="6"/>
        <v>0</v>
      </c>
      <c r="J26" s="55">
        <f t="shared" si="6"/>
        <v>0</v>
      </c>
      <c r="K26" s="55">
        <f t="shared" si="6"/>
        <v>0</v>
      </c>
      <c r="L26" s="55">
        <f t="shared" si="6"/>
        <v>0</v>
      </c>
      <c r="M26" s="55">
        <f t="shared" si="6"/>
        <v>0</v>
      </c>
      <c r="N26" s="55">
        <f t="shared" si="6"/>
        <v>0</v>
      </c>
      <c r="O26" s="55">
        <f t="shared" si="6"/>
        <v>0</v>
      </c>
      <c r="P26" s="55">
        <f t="shared" si="6"/>
        <v>0</v>
      </c>
      <c r="Q26" s="55">
        <f t="shared" si="6"/>
        <v>0</v>
      </c>
      <c r="R26" s="55">
        <f t="shared" si="6"/>
        <v>0</v>
      </c>
      <c r="S26" s="55">
        <f t="shared" si="6"/>
        <v>0</v>
      </c>
      <c r="T26" s="55">
        <f t="shared" si="6"/>
        <v>0</v>
      </c>
      <c r="U26" s="55">
        <f t="shared" si="6"/>
        <v>0</v>
      </c>
      <c r="V26" s="55">
        <f t="shared" si="6"/>
        <v>0</v>
      </c>
      <c r="W26" s="55">
        <f t="shared" si="6"/>
        <v>0</v>
      </c>
      <c r="X26" s="55">
        <f t="shared" si="6"/>
        <v>0</v>
      </c>
      <c r="Y26" s="55">
        <f t="shared" si="6"/>
        <v>0</v>
      </c>
      <c r="Z26" s="55">
        <f t="shared" si="6"/>
        <v>0</v>
      </c>
      <c r="AA26" s="55">
        <f t="shared" si="6"/>
        <v>0</v>
      </c>
      <c r="AB26" s="55">
        <f t="shared" si="6"/>
        <v>0</v>
      </c>
      <c r="AC26" s="55">
        <f t="shared" si="6"/>
        <v>0</v>
      </c>
      <c r="AD26" s="55">
        <f t="shared" si="6"/>
        <v>0</v>
      </c>
      <c r="AE26" s="55">
        <f t="shared" si="6"/>
        <v>0</v>
      </c>
      <c r="AF26" s="55">
        <f t="shared" si="6"/>
        <v>0</v>
      </c>
      <c r="AG26" s="55">
        <f t="shared" si="6"/>
        <v>0</v>
      </c>
      <c r="AH26" s="55">
        <f t="shared" si="6"/>
        <v>0</v>
      </c>
      <c r="AI26" s="55">
        <f t="shared" si="6"/>
        <v>0</v>
      </c>
      <c r="AJ26" s="55">
        <f t="shared" si="6"/>
        <v>0</v>
      </c>
      <c r="AK26" s="55">
        <f t="shared" si="6"/>
        <v>0</v>
      </c>
      <c r="AL26" s="55">
        <f t="shared" si="6"/>
        <v>0</v>
      </c>
      <c r="AM26" s="55">
        <f t="shared" si="6"/>
        <v>0</v>
      </c>
      <c r="AN26" s="55">
        <f t="shared" si="6"/>
        <v>0</v>
      </c>
      <c r="AO26" s="55">
        <f t="shared" si="6"/>
        <v>0</v>
      </c>
      <c r="AP26" s="55">
        <f t="shared" si="6"/>
        <v>0</v>
      </c>
      <c r="AQ26" s="55">
        <f t="shared" ref="AQ26" si="7">IF($C24="",0,IF(AND(AQ24=$C24,AQ25=$C25),5,IF(OR(AND(AQ24-AQ25&gt;0,$C24-$C25&gt;0),AND(AQ25-AQ24&gt;0,$C25-$C24&gt;0),AND(AQ24-AQ25=0,$C24-$C25=0)),2,0)+IF(OR(AQ24=$C24,AQ25=$C25),1,0)))</f>
        <v>0</v>
      </c>
      <c r="AR26" s="55">
        <f t="shared" si="6"/>
        <v>0</v>
      </c>
      <c r="AS26" s="55">
        <f t="shared" si="6"/>
        <v>0</v>
      </c>
      <c r="AT26" s="55">
        <f t="shared" si="6"/>
        <v>0</v>
      </c>
      <c r="AU26" s="55">
        <f t="shared" si="6"/>
        <v>0</v>
      </c>
      <c r="AV26" s="55">
        <f t="shared" si="6"/>
        <v>0</v>
      </c>
      <c r="AW26" s="55">
        <f t="shared" si="6"/>
        <v>0</v>
      </c>
      <c r="AX26" s="55">
        <f t="shared" si="6"/>
        <v>0</v>
      </c>
      <c r="AY26" s="55">
        <f t="shared" si="6"/>
        <v>0</v>
      </c>
      <c r="AZ26" s="55">
        <f t="shared" si="6"/>
        <v>0</v>
      </c>
      <c r="BA26" s="55">
        <f t="shared" si="6"/>
        <v>0</v>
      </c>
      <c r="BB26" s="55">
        <f t="shared" si="6"/>
        <v>0</v>
      </c>
      <c r="BC26" s="55">
        <f t="shared" si="6"/>
        <v>0</v>
      </c>
      <c r="BD26" s="55">
        <f t="shared" si="6"/>
        <v>0</v>
      </c>
      <c r="BE26" s="55">
        <f t="shared" si="6"/>
        <v>0</v>
      </c>
      <c r="BF26" s="55">
        <f t="shared" si="6"/>
        <v>0</v>
      </c>
      <c r="BG26" s="55">
        <f t="shared" si="6"/>
        <v>0</v>
      </c>
      <c r="BH26" s="55">
        <f t="shared" si="6"/>
        <v>0</v>
      </c>
      <c r="BI26" s="55">
        <f t="shared" si="6"/>
        <v>0</v>
      </c>
      <c r="BJ26" s="55">
        <f t="shared" si="6"/>
        <v>0</v>
      </c>
    </row>
    <row r="27" spans="1:62" ht="15.75" customHeight="1" x14ac:dyDescent="0.25">
      <c r="A27" s="62"/>
      <c r="B27" s="19">
        <v>0.75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</row>
    <row r="28" spans="1:62" ht="15.75" customHeight="1" x14ac:dyDescent="0.25">
      <c r="A28" s="23"/>
    </row>
    <row r="29" spans="1:62" ht="26.25" customHeight="1" x14ac:dyDescent="0.25">
      <c r="A29" s="61">
        <v>53</v>
      </c>
      <c r="B29" s="14" t="s">
        <v>68</v>
      </c>
      <c r="C29" s="15"/>
      <c r="D29" s="16">
        <v>1</v>
      </c>
      <c r="E29" s="16">
        <v>0</v>
      </c>
      <c r="F29" s="16">
        <v>2</v>
      </c>
      <c r="G29" s="17">
        <v>0</v>
      </c>
      <c r="H29" s="16">
        <v>1</v>
      </c>
      <c r="I29" s="16">
        <v>2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0</v>
      </c>
      <c r="R29" s="17">
        <v>1</v>
      </c>
      <c r="S29" s="16">
        <v>1</v>
      </c>
      <c r="T29" s="16">
        <v>1</v>
      </c>
      <c r="U29" s="16">
        <v>1</v>
      </c>
      <c r="V29" s="16">
        <v>1</v>
      </c>
      <c r="W29" s="16">
        <v>2</v>
      </c>
      <c r="X29" s="16">
        <v>1</v>
      </c>
      <c r="Y29" s="16">
        <v>0</v>
      </c>
      <c r="Z29" s="16">
        <v>0</v>
      </c>
      <c r="AA29" s="17">
        <v>2</v>
      </c>
      <c r="AB29" s="16">
        <v>0</v>
      </c>
      <c r="AC29" s="16">
        <v>1</v>
      </c>
      <c r="AD29" s="17">
        <v>1</v>
      </c>
      <c r="AE29" s="17">
        <v>0</v>
      </c>
      <c r="AF29" s="17">
        <v>1</v>
      </c>
      <c r="AG29" s="16">
        <v>1</v>
      </c>
      <c r="AH29" s="16">
        <v>0</v>
      </c>
      <c r="AI29" s="17">
        <v>2</v>
      </c>
      <c r="AJ29" s="16">
        <v>0</v>
      </c>
      <c r="AK29" s="16">
        <v>1</v>
      </c>
      <c r="AL29" s="16">
        <v>2</v>
      </c>
      <c r="AM29" s="16">
        <v>2</v>
      </c>
      <c r="AN29" s="16">
        <v>1</v>
      </c>
      <c r="AO29" s="16">
        <v>1</v>
      </c>
      <c r="AP29" s="17">
        <v>1</v>
      </c>
      <c r="AQ29" s="16">
        <v>1</v>
      </c>
      <c r="AR29" s="17">
        <v>0</v>
      </c>
      <c r="AS29" s="17">
        <v>1</v>
      </c>
      <c r="AT29" s="16">
        <v>0</v>
      </c>
      <c r="AU29" s="17">
        <v>1</v>
      </c>
      <c r="AV29" s="16">
        <v>0</v>
      </c>
      <c r="AW29" s="16">
        <v>1</v>
      </c>
      <c r="AX29" s="16">
        <v>1</v>
      </c>
      <c r="AY29" s="16">
        <v>1</v>
      </c>
      <c r="AZ29" s="16">
        <v>0</v>
      </c>
      <c r="BA29" s="16">
        <v>1</v>
      </c>
      <c r="BB29" s="16">
        <v>0</v>
      </c>
      <c r="BC29" s="17">
        <v>1</v>
      </c>
      <c r="BD29" s="16">
        <v>0</v>
      </c>
      <c r="BE29" s="17">
        <v>0</v>
      </c>
      <c r="BF29" s="17">
        <v>0</v>
      </c>
      <c r="BG29" s="16">
        <v>1</v>
      </c>
      <c r="BH29" s="17">
        <v>0</v>
      </c>
      <c r="BI29" s="16">
        <v>2</v>
      </c>
      <c r="BJ29" s="16">
        <v>1</v>
      </c>
    </row>
    <row r="30" spans="1:62" ht="26.25" customHeight="1" x14ac:dyDescent="0.25">
      <c r="A30" s="62"/>
      <c r="B30" s="14" t="s">
        <v>63</v>
      </c>
      <c r="C30" s="15"/>
      <c r="D30" s="16">
        <v>1</v>
      </c>
      <c r="E30" s="16">
        <v>1</v>
      </c>
      <c r="F30" s="16">
        <v>1</v>
      </c>
      <c r="G30" s="17">
        <v>1</v>
      </c>
      <c r="H30" s="16">
        <v>2</v>
      </c>
      <c r="I30" s="16">
        <v>2</v>
      </c>
      <c r="J30" s="16">
        <v>2</v>
      </c>
      <c r="K30" s="16">
        <v>2</v>
      </c>
      <c r="L30" s="16">
        <v>2</v>
      </c>
      <c r="M30" s="16">
        <v>1</v>
      </c>
      <c r="N30" s="16">
        <v>1</v>
      </c>
      <c r="O30" s="16">
        <v>1</v>
      </c>
      <c r="P30" s="16">
        <v>2</v>
      </c>
      <c r="Q30" s="16">
        <v>1</v>
      </c>
      <c r="R30" s="17">
        <v>1</v>
      </c>
      <c r="S30" s="16">
        <v>1</v>
      </c>
      <c r="T30" s="16">
        <v>1</v>
      </c>
      <c r="U30" s="16">
        <v>1</v>
      </c>
      <c r="V30" s="16">
        <v>2</v>
      </c>
      <c r="W30" s="16">
        <v>2</v>
      </c>
      <c r="X30" s="16">
        <v>1</v>
      </c>
      <c r="Y30" s="16">
        <v>1</v>
      </c>
      <c r="Z30" s="16">
        <v>2</v>
      </c>
      <c r="AA30" s="17">
        <v>2</v>
      </c>
      <c r="AB30" s="16">
        <v>1</v>
      </c>
      <c r="AC30" s="16">
        <v>2</v>
      </c>
      <c r="AD30" s="17">
        <v>1</v>
      </c>
      <c r="AE30" s="17">
        <v>1</v>
      </c>
      <c r="AF30" s="17">
        <v>2</v>
      </c>
      <c r="AG30" s="16">
        <v>2</v>
      </c>
      <c r="AH30" s="16">
        <v>1</v>
      </c>
      <c r="AI30" s="17">
        <v>2</v>
      </c>
      <c r="AJ30" s="16">
        <v>2</v>
      </c>
      <c r="AK30" s="16">
        <v>2</v>
      </c>
      <c r="AL30" s="16">
        <v>2</v>
      </c>
      <c r="AM30" s="16">
        <v>2</v>
      </c>
      <c r="AN30" s="16">
        <v>1</v>
      </c>
      <c r="AO30" s="16">
        <v>1</v>
      </c>
      <c r="AP30" s="17">
        <v>2</v>
      </c>
      <c r="AQ30" s="16">
        <v>1</v>
      </c>
      <c r="AR30" s="17">
        <v>2</v>
      </c>
      <c r="AS30" s="17">
        <v>1</v>
      </c>
      <c r="AT30" s="16">
        <v>1</v>
      </c>
      <c r="AU30" s="17">
        <v>1</v>
      </c>
      <c r="AV30" s="16">
        <v>1</v>
      </c>
      <c r="AW30" s="16">
        <v>2</v>
      </c>
      <c r="AX30" s="16">
        <v>2</v>
      </c>
      <c r="AY30" s="16">
        <v>2</v>
      </c>
      <c r="AZ30" s="16">
        <v>1</v>
      </c>
      <c r="BA30" s="16">
        <v>2</v>
      </c>
      <c r="BB30" s="16">
        <v>1</v>
      </c>
      <c r="BC30" s="17">
        <v>1</v>
      </c>
      <c r="BD30" s="16">
        <v>1</v>
      </c>
      <c r="BE30" s="17">
        <v>1</v>
      </c>
      <c r="BF30" s="17">
        <v>1</v>
      </c>
      <c r="BG30" s="16">
        <v>2</v>
      </c>
      <c r="BH30" s="16">
        <v>1</v>
      </c>
      <c r="BI30" s="16">
        <v>2</v>
      </c>
      <c r="BJ30" s="16">
        <v>1</v>
      </c>
    </row>
    <row r="31" spans="1:62" ht="15.75" customHeight="1" x14ac:dyDescent="0.25">
      <c r="A31" s="62"/>
      <c r="B31" s="18">
        <v>46197</v>
      </c>
      <c r="C31" s="60" t="s">
        <v>65</v>
      </c>
      <c r="D31" s="55">
        <f t="shared" ref="D31:BJ31" si="8">IF($C29="",0,IF(AND(D29=$C29,D30=$C30),5,IF(OR(AND(D29-D30&gt;0,$C29-$C30&gt;0),AND(D30-D29&gt;0,$C30-$C29&gt;0),AND(D29-D30=0,$C29-$C30=0)),2,0)+IF(OR(D29=$C29,D30=$C30),1,0)))</f>
        <v>0</v>
      </c>
      <c r="E31" s="55">
        <f t="shared" si="8"/>
        <v>0</v>
      </c>
      <c r="F31" s="55">
        <f t="shared" si="8"/>
        <v>0</v>
      </c>
      <c r="G31" s="55">
        <f t="shared" si="8"/>
        <v>0</v>
      </c>
      <c r="H31" s="55">
        <f t="shared" si="8"/>
        <v>0</v>
      </c>
      <c r="I31" s="55">
        <f t="shared" si="8"/>
        <v>0</v>
      </c>
      <c r="J31" s="55">
        <f t="shared" si="8"/>
        <v>0</v>
      </c>
      <c r="K31" s="55">
        <f t="shared" si="8"/>
        <v>0</v>
      </c>
      <c r="L31" s="55">
        <f t="shared" si="8"/>
        <v>0</v>
      </c>
      <c r="M31" s="55">
        <f t="shared" si="8"/>
        <v>0</v>
      </c>
      <c r="N31" s="55">
        <f t="shared" si="8"/>
        <v>0</v>
      </c>
      <c r="O31" s="55">
        <f t="shared" si="8"/>
        <v>0</v>
      </c>
      <c r="P31" s="55">
        <f t="shared" si="8"/>
        <v>0</v>
      </c>
      <c r="Q31" s="55">
        <f t="shared" si="8"/>
        <v>0</v>
      </c>
      <c r="R31" s="55">
        <f t="shared" si="8"/>
        <v>0</v>
      </c>
      <c r="S31" s="55">
        <f t="shared" si="8"/>
        <v>0</v>
      </c>
      <c r="T31" s="55">
        <f t="shared" si="8"/>
        <v>0</v>
      </c>
      <c r="U31" s="55">
        <f t="shared" si="8"/>
        <v>0</v>
      </c>
      <c r="V31" s="55">
        <f t="shared" si="8"/>
        <v>0</v>
      </c>
      <c r="W31" s="55">
        <f t="shared" si="8"/>
        <v>0</v>
      </c>
      <c r="X31" s="55">
        <f t="shared" si="8"/>
        <v>0</v>
      </c>
      <c r="Y31" s="55">
        <f t="shared" si="8"/>
        <v>0</v>
      </c>
      <c r="Z31" s="55">
        <f t="shared" si="8"/>
        <v>0</v>
      </c>
      <c r="AA31" s="55">
        <f t="shared" si="8"/>
        <v>0</v>
      </c>
      <c r="AB31" s="55">
        <f t="shared" si="8"/>
        <v>0</v>
      </c>
      <c r="AC31" s="55">
        <f t="shared" si="8"/>
        <v>0</v>
      </c>
      <c r="AD31" s="55">
        <f t="shared" si="8"/>
        <v>0</v>
      </c>
      <c r="AE31" s="55">
        <f t="shared" si="8"/>
        <v>0</v>
      </c>
      <c r="AF31" s="55">
        <f t="shared" si="8"/>
        <v>0</v>
      </c>
      <c r="AG31" s="55">
        <f t="shared" si="8"/>
        <v>0</v>
      </c>
      <c r="AH31" s="55">
        <f t="shared" si="8"/>
        <v>0</v>
      </c>
      <c r="AI31" s="55">
        <f t="shared" si="8"/>
        <v>0</v>
      </c>
      <c r="AJ31" s="55">
        <f t="shared" si="8"/>
        <v>0</v>
      </c>
      <c r="AK31" s="55">
        <f t="shared" si="8"/>
        <v>0</v>
      </c>
      <c r="AL31" s="55">
        <f t="shared" si="8"/>
        <v>0</v>
      </c>
      <c r="AM31" s="55">
        <f t="shared" si="8"/>
        <v>0</v>
      </c>
      <c r="AN31" s="55">
        <f t="shared" si="8"/>
        <v>0</v>
      </c>
      <c r="AO31" s="55">
        <f t="shared" si="8"/>
        <v>0</v>
      </c>
      <c r="AP31" s="55">
        <f t="shared" si="8"/>
        <v>0</v>
      </c>
      <c r="AQ31" s="55">
        <f t="shared" ref="AQ31" si="9">IF($C29="",0,IF(AND(AQ29=$C29,AQ30=$C30),5,IF(OR(AND(AQ29-AQ30&gt;0,$C29-$C30&gt;0),AND(AQ30-AQ29&gt;0,$C30-$C29&gt;0),AND(AQ29-AQ30=0,$C29-$C30=0)),2,0)+IF(OR(AQ29=$C29,AQ30=$C30),1,0)))</f>
        <v>0</v>
      </c>
      <c r="AR31" s="55">
        <f t="shared" si="8"/>
        <v>0</v>
      </c>
      <c r="AS31" s="55">
        <f t="shared" si="8"/>
        <v>0</v>
      </c>
      <c r="AT31" s="55">
        <f t="shared" si="8"/>
        <v>0</v>
      </c>
      <c r="AU31" s="55">
        <f t="shared" si="8"/>
        <v>0</v>
      </c>
      <c r="AV31" s="55">
        <f t="shared" si="8"/>
        <v>0</v>
      </c>
      <c r="AW31" s="55">
        <f t="shared" si="8"/>
        <v>0</v>
      </c>
      <c r="AX31" s="55">
        <f t="shared" si="8"/>
        <v>0</v>
      </c>
      <c r="AY31" s="55">
        <f t="shared" si="8"/>
        <v>0</v>
      </c>
      <c r="AZ31" s="55">
        <f t="shared" si="8"/>
        <v>0</v>
      </c>
      <c r="BA31" s="55">
        <f t="shared" si="8"/>
        <v>0</v>
      </c>
      <c r="BB31" s="55">
        <f t="shared" si="8"/>
        <v>0</v>
      </c>
      <c r="BC31" s="55">
        <f t="shared" si="8"/>
        <v>0</v>
      </c>
      <c r="BD31" s="55">
        <f t="shared" si="8"/>
        <v>0</v>
      </c>
      <c r="BE31" s="55">
        <f t="shared" si="8"/>
        <v>0</v>
      </c>
      <c r="BF31" s="55">
        <f t="shared" si="8"/>
        <v>0</v>
      </c>
      <c r="BG31" s="55">
        <f t="shared" si="8"/>
        <v>0</v>
      </c>
      <c r="BH31" s="55">
        <f t="shared" si="8"/>
        <v>0</v>
      </c>
      <c r="BI31" s="55">
        <f t="shared" si="8"/>
        <v>0</v>
      </c>
      <c r="BJ31" s="55">
        <f t="shared" si="8"/>
        <v>0</v>
      </c>
    </row>
    <row r="32" spans="1:62" ht="15.75" customHeight="1" x14ac:dyDescent="0.25">
      <c r="A32" s="62"/>
      <c r="B32" s="19">
        <v>0.83333333333333337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</row>
    <row r="33" spans="1:62" ht="15.75" customHeight="1" x14ac:dyDescent="0.25">
      <c r="A33" s="23"/>
    </row>
    <row r="34" spans="1:62" ht="22.5" customHeight="1" x14ac:dyDescent="0.25">
      <c r="A34" s="61">
        <v>54</v>
      </c>
      <c r="B34" s="14" t="s">
        <v>64</v>
      </c>
      <c r="C34" s="15"/>
      <c r="D34" s="16">
        <v>0</v>
      </c>
      <c r="E34" s="16">
        <v>1</v>
      </c>
      <c r="F34" s="16">
        <v>2</v>
      </c>
      <c r="G34" s="17">
        <v>0</v>
      </c>
      <c r="H34" s="16">
        <v>1</v>
      </c>
      <c r="I34" s="16">
        <v>2</v>
      </c>
      <c r="J34" s="16">
        <v>0</v>
      </c>
      <c r="K34" s="16">
        <v>2</v>
      </c>
      <c r="L34" s="16">
        <v>0</v>
      </c>
      <c r="M34" s="16">
        <v>0</v>
      </c>
      <c r="N34" s="16">
        <v>1</v>
      </c>
      <c r="O34" s="16">
        <v>1</v>
      </c>
      <c r="P34" s="16">
        <v>0</v>
      </c>
      <c r="Q34" s="16">
        <v>2</v>
      </c>
      <c r="R34" s="17">
        <v>0</v>
      </c>
      <c r="S34" s="16">
        <v>0</v>
      </c>
      <c r="T34" s="16">
        <v>1</v>
      </c>
      <c r="U34" s="16">
        <v>0</v>
      </c>
      <c r="V34" s="16">
        <v>1</v>
      </c>
      <c r="W34" s="16">
        <v>0</v>
      </c>
      <c r="X34" s="16">
        <v>0</v>
      </c>
      <c r="Y34" s="16">
        <v>0</v>
      </c>
      <c r="Z34" s="16">
        <v>1</v>
      </c>
      <c r="AA34" s="17">
        <v>2</v>
      </c>
      <c r="AB34" s="16">
        <v>0</v>
      </c>
      <c r="AC34" s="16">
        <v>0</v>
      </c>
      <c r="AD34" s="17">
        <v>2</v>
      </c>
      <c r="AE34" s="17">
        <v>1</v>
      </c>
      <c r="AF34" s="17">
        <v>0</v>
      </c>
      <c r="AG34" s="16">
        <v>1</v>
      </c>
      <c r="AH34" s="16">
        <v>1</v>
      </c>
      <c r="AI34" s="17">
        <v>3</v>
      </c>
      <c r="AJ34" s="16">
        <v>2</v>
      </c>
      <c r="AK34" s="16">
        <v>0</v>
      </c>
      <c r="AL34" s="16">
        <v>2</v>
      </c>
      <c r="AM34" s="16">
        <v>2</v>
      </c>
      <c r="AN34" s="16">
        <v>1</v>
      </c>
      <c r="AO34" s="16">
        <v>1</v>
      </c>
      <c r="AP34" s="17">
        <v>1</v>
      </c>
      <c r="AQ34" s="16">
        <v>0</v>
      </c>
      <c r="AR34" s="17">
        <v>1</v>
      </c>
      <c r="AS34" s="17">
        <v>1</v>
      </c>
      <c r="AT34" s="16">
        <v>1</v>
      </c>
      <c r="AU34" s="17">
        <v>1</v>
      </c>
      <c r="AV34" s="16">
        <v>2</v>
      </c>
      <c r="AW34" s="16">
        <v>1</v>
      </c>
      <c r="AX34" s="16">
        <v>0</v>
      </c>
      <c r="AY34" s="16">
        <v>1</v>
      </c>
      <c r="AZ34" s="16">
        <v>0</v>
      </c>
      <c r="BA34" s="16">
        <v>0</v>
      </c>
      <c r="BB34" s="16">
        <v>2</v>
      </c>
      <c r="BC34" s="17">
        <v>0</v>
      </c>
      <c r="BD34" s="16">
        <v>0</v>
      </c>
      <c r="BE34" s="17">
        <v>1</v>
      </c>
      <c r="BF34" s="17">
        <v>0</v>
      </c>
      <c r="BG34" s="16">
        <v>1</v>
      </c>
      <c r="BH34" s="16">
        <v>0</v>
      </c>
      <c r="BI34" s="16">
        <v>0</v>
      </c>
      <c r="BJ34" s="16">
        <v>0</v>
      </c>
    </row>
    <row r="35" spans="1:62" ht="23.25" customHeight="1" x14ac:dyDescent="0.25">
      <c r="A35" s="62"/>
      <c r="B35" s="14" t="s">
        <v>66</v>
      </c>
      <c r="C35" s="15"/>
      <c r="D35" s="16">
        <v>1</v>
      </c>
      <c r="E35" s="16">
        <v>2</v>
      </c>
      <c r="F35" s="16">
        <v>2</v>
      </c>
      <c r="G35" s="17">
        <v>2</v>
      </c>
      <c r="H35" s="16">
        <v>2</v>
      </c>
      <c r="I35" s="16">
        <v>0</v>
      </c>
      <c r="J35" s="16">
        <v>1</v>
      </c>
      <c r="K35" s="16">
        <v>1</v>
      </c>
      <c r="L35" s="16">
        <v>2</v>
      </c>
      <c r="M35" s="16">
        <v>2</v>
      </c>
      <c r="N35" s="16">
        <v>2</v>
      </c>
      <c r="O35" s="16">
        <v>2</v>
      </c>
      <c r="P35" s="16">
        <v>1</v>
      </c>
      <c r="Q35" s="16">
        <v>2</v>
      </c>
      <c r="R35" s="17">
        <v>2</v>
      </c>
      <c r="S35" s="16">
        <v>2</v>
      </c>
      <c r="T35" s="16">
        <v>1</v>
      </c>
      <c r="U35" s="16">
        <v>3</v>
      </c>
      <c r="V35" s="16">
        <v>1</v>
      </c>
      <c r="W35" s="16">
        <v>2</v>
      </c>
      <c r="X35" s="16">
        <v>0</v>
      </c>
      <c r="Y35" s="16">
        <v>2</v>
      </c>
      <c r="Z35" s="16">
        <v>2</v>
      </c>
      <c r="AA35" s="17">
        <v>0</v>
      </c>
      <c r="AB35" s="16">
        <v>2</v>
      </c>
      <c r="AC35" s="16">
        <v>2</v>
      </c>
      <c r="AD35" s="17">
        <v>2</v>
      </c>
      <c r="AE35" s="17">
        <v>2</v>
      </c>
      <c r="AF35" s="17">
        <v>1</v>
      </c>
      <c r="AG35" s="16">
        <v>2</v>
      </c>
      <c r="AH35" s="16">
        <v>2</v>
      </c>
      <c r="AI35" s="17">
        <v>3</v>
      </c>
      <c r="AJ35" s="16">
        <v>1</v>
      </c>
      <c r="AK35" s="16">
        <v>2</v>
      </c>
      <c r="AL35" s="16">
        <v>3</v>
      </c>
      <c r="AM35" s="16">
        <v>0</v>
      </c>
      <c r="AN35" s="16">
        <v>2</v>
      </c>
      <c r="AO35" s="16">
        <v>2</v>
      </c>
      <c r="AP35" s="17">
        <v>0</v>
      </c>
      <c r="AQ35" s="16">
        <v>1</v>
      </c>
      <c r="AR35" s="17">
        <v>3</v>
      </c>
      <c r="AS35" s="17">
        <v>0</v>
      </c>
      <c r="AT35" s="16">
        <v>2</v>
      </c>
      <c r="AU35" s="17">
        <v>2</v>
      </c>
      <c r="AV35" s="16">
        <v>1</v>
      </c>
      <c r="AW35" s="16">
        <v>1</v>
      </c>
      <c r="AX35" s="16">
        <v>1</v>
      </c>
      <c r="AY35" s="16">
        <v>2</v>
      </c>
      <c r="AZ35" s="16">
        <v>2</v>
      </c>
      <c r="BA35" s="16">
        <v>3</v>
      </c>
      <c r="BB35" s="16">
        <v>1</v>
      </c>
      <c r="BC35" s="17">
        <v>2</v>
      </c>
      <c r="BD35" s="16">
        <v>2</v>
      </c>
      <c r="BE35" s="17">
        <v>1</v>
      </c>
      <c r="BF35" s="17">
        <v>2</v>
      </c>
      <c r="BG35" s="16">
        <v>0</v>
      </c>
      <c r="BH35" s="17">
        <v>2</v>
      </c>
      <c r="BI35" s="16">
        <v>0</v>
      </c>
      <c r="BJ35" s="16">
        <v>2</v>
      </c>
    </row>
    <row r="36" spans="1:62" ht="15.75" customHeight="1" x14ac:dyDescent="0.25">
      <c r="A36" s="62"/>
      <c r="B36" s="18">
        <v>46197</v>
      </c>
      <c r="C36" s="60" t="s">
        <v>65</v>
      </c>
      <c r="D36" s="55">
        <f t="shared" ref="D36:BJ36" si="10">IF($C34="",0,IF(AND(D34=$C34,D35=$C35),5,IF(OR(AND(D34-D35&gt;0,$C34-$C35&gt;0),AND(D35-D34&gt;0,$C35-$C34&gt;0),AND(D34-D35=0,$C34-$C35=0)),2,0)+IF(OR(D34=$C34,D35=$C35),1,0)))</f>
        <v>0</v>
      </c>
      <c r="E36" s="55">
        <f t="shared" si="10"/>
        <v>0</v>
      </c>
      <c r="F36" s="55">
        <f t="shared" si="10"/>
        <v>0</v>
      </c>
      <c r="G36" s="55">
        <f t="shared" si="10"/>
        <v>0</v>
      </c>
      <c r="H36" s="55">
        <f t="shared" si="10"/>
        <v>0</v>
      </c>
      <c r="I36" s="55">
        <f t="shared" si="10"/>
        <v>0</v>
      </c>
      <c r="J36" s="55">
        <f t="shared" si="10"/>
        <v>0</v>
      </c>
      <c r="K36" s="55">
        <f t="shared" si="10"/>
        <v>0</v>
      </c>
      <c r="L36" s="55">
        <f t="shared" si="10"/>
        <v>0</v>
      </c>
      <c r="M36" s="55">
        <f t="shared" si="10"/>
        <v>0</v>
      </c>
      <c r="N36" s="55">
        <f t="shared" si="10"/>
        <v>0</v>
      </c>
      <c r="O36" s="55">
        <f t="shared" si="10"/>
        <v>0</v>
      </c>
      <c r="P36" s="55">
        <f t="shared" si="10"/>
        <v>0</v>
      </c>
      <c r="Q36" s="55">
        <f t="shared" si="10"/>
        <v>0</v>
      </c>
      <c r="R36" s="55">
        <f t="shared" si="10"/>
        <v>0</v>
      </c>
      <c r="S36" s="55">
        <f t="shared" si="10"/>
        <v>0</v>
      </c>
      <c r="T36" s="55">
        <f t="shared" si="10"/>
        <v>0</v>
      </c>
      <c r="U36" s="55">
        <f t="shared" si="10"/>
        <v>0</v>
      </c>
      <c r="V36" s="55">
        <f t="shared" si="10"/>
        <v>0</v>
      </c>
      <c r="W36" s="55">
        <f t="shared" si="10"/>
        <v>0</v>
      </c>
      <c r="X36" s="55">
        <f t="shared" si="10"/>
        <v>0</v>
      </c>
      <c r="Y36" s="55">
        <f t="shared" si="10"/>
        <v>0</v>
      </c>
      <c r="Z36" s="55">
        <f t="shared" si="10"/>
        <v>0</v>
      </c>
      <c r="AA36" s="55">
        <f t="shared" si="10"/>
        <v>0</v>
      </c>
      <c r="AB36" s="55">
        <f t="shared" si="10"/>
        <v>0</v>
      </c>
      <c r="AC36" s="55">
        <f t="shared" si="10"/>
        <v>0</v>
      </c>
      <c r="AD36" s="55">
        <f t="shared" si="10"/>
        <v>0</v>
      </c>
      <c r="AE36" s="55">
        <f t="shared" si="10"/>
        <v>0</v>
      </c>
      <c r="AF36" s="55">
        <f t="shared" si="10"/>
        <v>0</v>
      </c>
      <c r="AG36" s="55">
        <f t="shared" si="10"/>
        <v>0</v>
      </c>
      <c r="AH36" s="55">
        <f t="shared" si="10"/>
        <v>0</v>
      </c>
      <c r="AI36" s="55">
        <f t="shared" si="10"/>
        <v>0</v>
      </c>
      <c r="AJ36" s="55">
        <f t="shared" si="10"/>
        <v>0</v>
      </c>
      <c r="AK36" s="55">
        <f t="shared" si="10"/>
        <v>0</v>
      </c>
      <c r="AL36" s="55">
        <f t="shared" si="10"/>
        <v>0</v>
      </c>
      <c r="AM36" s="55">
        <f t="shared" si="10"/>
        <v>0</v>
      </c>
      <c r="AN36" s="55">
        <f t="shared" si="10"/>
        <v>0</v>
      </c>
      <c r="AO36" s="55">
        <f t="shared" si="10"/>
        <v>0</v>
      </c>
      <c r="AP36" s="55">
        <f t="shared" si="10"/>
        <v>0</v>
      </c>
      <c r="AQ36" s="55">
        <f t="shared" ref="AQ36" si="11">IF($C34="",0,IF(AND(AQ34=$C34,AQ35=$C35),5,IF(OR(AND(AQ34-AQ35&gt;0,$C34-$C35&gt;0),AND(AQ35-AQ34&gt;0,$C35-$C34&gt;0),AND(AQ34-AQ35=0,$C34-$C35=0)),2,0)+IF(OR(AQ34=$C34,AQ35=$C35),1,0)))</f>
        <v>0</v>
      </c>
      <c r="AR36" s="55">
        <f t="shared" si="10"/>
        <v>0</v>
      </c>
      <c r="AS36" s="55">
        <f t="shared" si="10"/>
        <v>0</v>
      </c>
      <c r="AT36" s="55">
        <f t="shared" si="10"/>
        <v>0</v>
      </c>
      <c r="AU36" s="55">
        <f t="shared" si="10"/>
        <v>0</v>
      </c>
      <c r="AV36" s="55">
        <f t="shared" si="10"/>
        <v>0</v>
      </c>
      <c r="AW36" s="55">
        <f t="shared" si="10"/>
        <v>0</v>
      </c>
      <c r="AX36" s="55">
        <f t="shared" si="10"/>
        <v>0</v>
      </c>
      <c r="AY36" s="55">
        <f t="shared" si="10"/>
        <v>0</v>
      </c>
      <c r="AZ36" s="55">
        <f t="shared" si="10"/>
        <v>0</v>
      </c>
      <c r="BA36" s="55">
        <f t="shared" si="10"/>
        <v>0</v>
      </c>
      <c r="BB36" s="55">
        <f t="shared" si="10"/>
        <v>0</v>
      </c>
      <c r="BC36" s="55">
        <f t="shared" si="10"/>
        <v>0</v>
      </c>
      <c r="BD36" s="55">
        <f t="shared" si="10"/>
        <v>0</v>
      </c>
      <c r="BE36" s="55">
        <f t="shared" si="10"/>
        <v>0</v>
      </c>
      <c r="BF36" s="55">
        <f t="shared" si="10"/>
        <v>0</v>
      </c>
      <c r="BG36" s="55">
        <f t="shared" si="10"/>
        <v>0</v>
      </c>
      <c r="BH36" s="55">
        <f t="shared" si="10"/>
        <v>0</v>
      </c>
      <c r="BI36" s="55">
        <f t="shared" si="10"/>
        <v>0</v>
      </c>
      <c r="BJ36" s="55">
        <f t="shared" si="10"/>
        <v>0</v>
      </c>
    </row>
    <row r="37" spans="1:62" ht="15.75" customHeight="1" x14ac:dyDescent="0.25">
      <c r="A37" s="62"/>
      <c r="B37" s="19">
        <v>0.83333333333333337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</row>
    <row r="38" spans="1:62" ht="15.75" customHeight="1" x14ac:dyDescent="0.25"/>
    <row r="39" spans="1:62" ht="15.75" customHeight="1" x14ac:dyDescent="0.25"/>
    <row r="40" spans="1:62" ht="15.75" customHeight="1" x14ac:dyDescent="0.25"/>
    <row r="41" spans="1:62" ht="33" customHeight="1" x14ac:dyDescent="0.25">
      <c r="A41" s="57" t="s">
        <v>70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</row>
    <row r="42" spans="1:62" ht="15.75" customHeight="1" x14ac:dyDescent="0.25">
      <c r="A42" s="2"/>
      <c r="B42" s="2"/>
      <c r="C42" s="2"/>
      <c r="D42" s="2"/>
      <c r="E42" s="2"/>
      <c r="F42" s="2"/>
      <c r="G42" s="2"/>
      <c r="H42" s="3"/>
      <c r="I42" s="3"/>
      <c r="J42" s="3"/>
    </row>
    <row r="43" spans="1:62" ht="15.75" customHeight="1" x14ac:dyDescent="0.25">
      <c r="A43" s="4"/>
      <c r="B43" s="5"/>
      <c r="C43" s="6"/>
      <c r="D43" s="7">
        <v>1</v>
      </c>
      <c r="E43" s="7">
        <v>2</v>
      </c>
      <c r="F43" s="7">
        <v>3</v>
      </c>
      <c r="G43" s="7">
        <v>4</v>
      </c>
      <c r="H43" s="7">
        <v>5</v>
      </c>
      <c r="I43" s="7">
        <v>6</v>
      </c>
      <c r="J43" s="7">
        <v>7</v>
      </c>
      <c r="K43" s="7">
        <v>8</v>
      </c>
      <c r="L43" s="7">
        <v>9</v>
      </c>
      <c r="M43" s="7">
        <v>10</v>
      </c>
      <c r="N43" s="7">
        <v>11</v>
      </c>
      <c r="O43" s="7">
        <v>13</v>
      </c>
      <c r="P43" s="7">
        <v>14</v>
      </c>
      <c r="Q43" s="7">
        <v>15</v>
      </c>
      <c r="R43" s="7">
        <v>16</v>
      </c>
      <c r="S43" s="7">
        <v>17</v>
      </c>
      <c r="T43" s="7">
        <v>18</v>
      </c>
      <c r="U43" s="7">
        <v>19</v>
      </c>
      <c r="V43" s="7">
        <v>20</v>
      </c>
      <c r="W43" s="7">
        <v>21</v>
      </c>
      <c r="X43" s="7">
        <v>22</v>
      </c>
      <c r="Y43" s="7">
        <v>24</v>
      </c>
      <c r="Z43" s="7">
        <v>25</v>
      </c>
      <c r="AA43" s="7">
        <v>26</v>
      </c>
      <c r="AB43" s="7">
        <v>27</v>
      </c>
      <c r="AC43" s="7">
        <v>29</v>
      </c>
      <c r="AD43" s="7">
        <v>30</v>
      </c>
      <c r="AE43" s="7">
        <v>32</v>
      </c>
      <c r="AF43" s="7">
        <v>33</v>
      </c>
      <c r="AG43" s="7">
        <v>34</v>
      </c>
      <c r="AH43" s="7">
        <v>35</v>
      </c>
      <c r="AI43" s="7">
        <v>36</v>
      </c>
      <c r="AJ43" s="7">
        <v>37</v>
      </c>
      <c r="AK43" s="7">
        <v>38</v>
      </c>
      <c r="AL43" s="7">
        <v>39</v>
      </c>
      <c r="AM43" s="7">
        <v>40</v>
      </c>
      <c r="AN43" s="7">
        <v>41</v>
      </c>
      <c r="AO43" s="7">
        <v>42</v>
      </c>
      <c r="AP43" s="7">
        <v>44</v>
      </c>
      <c r="AQ43" s="7">
        <v>67</v>
      </c>
      <c r="AR43" s="7">
        <v>48</v>
      </c>
      <c r="AS43" s="7">
        <v>49</v>
      </c>
      <c r="AT43" s="7">
        <v>51</v>
      </c>
      <c r="AU43" s="7">
        <v>52</v>
      </c>
      <c r="AV43" s="7">
        <v>53</v>
      </c>
      <c r="AW43" s="7">
        <v>54</v>
      </c>
      <c r="AX43" s="7">
        <v>55</v>
      </c>
      <c r="AY43" s="7">
        <v>56</v>
      </c>
      <c r="AZ43" s="7">
        <v>57</v>
      </c>
      <c r="BA43" s="7">
        <v>58</v>
      </c>
      <c r="BB43" s="7">
        <v>59</v>
      </c>
      <c r="BC43" s="7">
        <v>60</v>
      </c>
      <c r="BD43" s="7">
        <v>61</v>
      </c>
      <c r="BE43" s="7">
        <v>62</v>
      </c>
      <c r="BF43" s="7">
        <v>63</v>
      </c>
      <c r="BG43" s="7">
        <v>64</v>
      </c>
      <c r="BH43" s="7">
        <v>65</v>
      </c>
      <c r="BI43" s="7">
        <v>66</v>
      </c>
      <c r="BJ43" s="7">
        <v>67</v>
      </c>
    </row>
    <row r="44" spans="1:62" ht="181.5" customHeight="1" x14ac:dyDescent="0.25">
      <c r="A44" s="8"/>
      <c r="B44" s="9" t="s">
        <v>3</v>
      </c>
      <c r="C44" s="10" t="s">
        <v>4</v>
      </c>
      <c r="D44" s="11" t="str">
        <f>$D$8</f>
        <v>Julian Uribe</v>
      </c>
      <c r="E44" s="11" t="str">
        <f>$E$8</f>
        <v>Yulian Sanchez</v>
      </c>
      <c r="F44" s="11" t="str">
        <f>$F$8</f>
        <v>Francisco Moreno</v>
      </c>
      <c r="G44" s="11" t="str">
        <f>$G$8</f>
        <v>Mauricio Guerrero</v>
      </c>
      <c r="H44" s="11" t="str">
        <f>$H$8</f>
        <v>Gustavo Guerrero</v>
      </c>
      <c r="I44" s="11" t="str">
        <f>$I$8</f>
        <v>Gerardo Martinez</v>
      </c>
      <c r="J44" s="11" t="str">
        <f t="shared" ref="J44:BJ44" si="12">J8</f>
        <v>Nora Perez</v>
      </c>
      <c r="K44" s="11" t="str">
        <f t="shared" si="12"/>
        <v>Laura Rodriguez</v>
      </c>
      <c r="L44" s="11" t="str">
        <f t="shared" si="12"/>
        <v>Jhoana Moreno</v>
      </c>
      <c r="M44" s="11" t="str">
        <f t="shared" si="12"/>
        <v xml:space="preserve">Yoselin Salinas </v>
      </c>
      <c r="N44" s="11" t="str">
        <f t="shared" si="12"/>
        <v>Luis Diaz</v>
      </c>
      <c r="O44" s="11" t="str">
        <f t="shared" si="12"/>
        <v>Diela del Carmen</v>
      </c>
      <c r="P44" s="11" t="str">
        <f t="shared" si="12"/>
        <v>Paola Agredo</v>
      </c>
      <c r="Q44" s="11" t="str">
        <f t="shared" si="12"/>
        <v>Oscar Suarez</v>
      </c>
      <c r="R44" s="11" t="str">
        <f t="shared" si="12"/>
        <v>Paulo Figueroa</v>
      </c>
      <c r="S44" s="11" t="str">
        <f t="shared" si="12"/>
        <v xml:space="preserve">Jean Piere </v>
      </c>
      <c r="T44" s="11" t="str">
        <f t="shared" si="12"/>
        <v>David Diaz</v>
      </c>
      <c r="U44" s="11" t="str">
        <f t="shared" si="12"/>
        <v xml:space="preserve">Christian Giraldo </v>
      </c>
      <c r="V44" s="11" t="str">
        <f t="shared" si="12"/>
        <v>Viviana Hurtado</v>
      </c>
      <c r="W44" s="11" t="str">
        <f t="shared" si="12"/>
        <v>James Chavez Ocampo</v>
      </c>
      <c r="X44" s="11" t="str">
        <f t="shared" si="12"/>
        <v>Luis Felipe Sanchez</v>
      </c>
      <c r="Y44" s="11" t="str">
        <f t="shared" si="12"/>
        <v>Laura Ossa</v>
      </c>
      <c r="Z44" s="11" t="str">
        <f t="shared" si="12"/>
        <v>Elizabeth Montealegre</v>
      </c>
      <c r="AA44" s="11" t="str">
        <f t="shared" si="12"/>
        <v>Liliana Montealegre</v>
      </c>
      <c r="AB44" s="11" t="str">
        <f t="shared" si="12"/>
        <v>Javier Andres Gomez</v>
      </c>
      <c r="AC44" s="11" t="str">
        <f t="shared" si="12"/>
        <v>Diana Carolina Marin</v>
      </c>
      <c r="AD44" s="11" t="str">
        <f t="shared" si="12"/>
        <v>Diego Fernando Saavedra</v>
      </c>
      <c r="AE44" s="11" t="str">
        <f t="shared" si="12"/>
        <v>Oscar Mayor</v>
      </c>
      <c r="AF44" s="11" t="str">
        <f t="shared" si="12"/>
        <v>Ingrid Toro</v>
      </c>
      <c r="AG44" s="11" t="str">
        <f t="shared" si="12"/>
        <v>Ana Marcela Castro</v>
      </c>
      <c r="AH44" s="11" t="str">
        <f t="shared" si="12"/>
        <v>Ricardo Gutierrez</v>
      </c>
      <c r="AI44" s="11" t="str">
        <f t="shared" si="12"/>
        <v>Natalia Navarro</v>
      </c>
      <c r="AJ44" s="11" t="str">
        <f t="shared" si="12"/>
        <v>Diana Perez</v>
      </c>
      <c r="AK44" s="11" t="str">
        <f t="shared" si="12"/>
        <v>Sergio Diaz</v>
      </c>
      <c r="AL44" s="11" t="str">
        <f t="shared" si="12"/>
        <v>William Oviedo</v>
      </c>
      <c r="AM44" s="11" t="str">
        <f t="shared" si="12"/>
        <v>Armando Orjuela</v>
      </c>
      <c r="AN44" s="11" t="str">
        <f t="shared" si="12"/>
        <v xml:space="preserve">Helen Muñoz </v>
      </c>
      <c r="AO44" s="11" t="str">
        <f t="shared" si="12"/>
        <v>Julieth Cruz - Luiz Diaz</v>
      </c>
      <c r="AP44" s="11" t="str">
        <f t="shared" si="12"/>
        <v>Jose Luis Montoya</v>
      </c>
      <c r="AQ44" s="11" t="str">
        <f t="shared" ref="AQ44" si="13">AQ8</f>
        <v>Julian Useche</v>
      </c>
      <c r="AR44" s="11" t="str">
        <f t="shared" si="12"/>
        <v>Sebastian Posada</v>
      </c>
      <c r="AS44" s="11" t="str">
        <f t="shared" si="12"/>
        <v>Juan Cifuentes</v>
      </c>
      <c r="AT44" s="11" t="str">
        <f t="shared" si="12"/>
        <v>Rodrigo Dominguez</v>
      </c>
      <c r="AU44" s="11" t="str">
        <f t="shared" si="12"/>
        <v xml:space="preserve">Carlos Calero </v>
      </c>
      <c r="AV44" s="11" t="str">
        <f t="shared" si="12"/>
        <v>Lewhis Spirth Montaño</v>
      </c>
      <c r="AW44" s="11" t="str">
        <f t="shared" si="12"/>
        <v>Sebastian Castro Luna</v>
      </c>
      <c r="AX44" s="11" t="str">
        <f t="shared" si="12"/>
        <v>Francia Orozco</v>
      </c>
      <c r="AY44" s="11" t="str">
        <f t="shared" si="12"/>
        <v>Fredy Rojas</v>
      </c>
      <c r="AZ44" s="11" t="str">
        <f t="shared" si="12"/>
        <v>John Quiñonez</v>
      </c>
      <c r="BA44" s="11" t="str">
        <f t="shared" si="12"/>
        <v>Yuli Guzman</v>
      </c>
      <c r="BB44" s="11" t="str">
        <f t="shared" si="12"/>
        <v>Luis Alfredo Plaza</v>
      </c>
      <c r="BC44" s="11" t="str">
        <f t="shared" si="12"/>
        <v>Naty Bermudez</v>
      </c>
      <c r="BD44" s="11" t="str">
        <f t="shared" si="12"/>
        <v>Edgar Ivan Giraldo Duran</v>
      </c>
      <c r="BE44" s="11" t="str">
        <f t="shared" si="12"/>
        <v>Caterine Filigrana</v>
      </c>
      <c r="BF44" s="11" t="str">
        <f t="shared" si="12"/>
        <v>Adriana Belalcazar</v>
      </c>
      <c r="BG44" s="11" t="str">
        <f t="shared" si="12"/>
        <v>Angelisa Hurtado</v>
      </c>
      <c r="BH44" s="11" t="str">
        <f t="shared" si="12"/>
        <v>Isabela Muñoz</v>
      </c>
      <c r="BI44" s="11" t="str">
        <f t="shared" si="12"/>
        <v>Francisco Moreno Alvarez</v>
      </c>
      <c r="BJ44" s="11" t="str">
        <f t="shared" si="12"/>
        <v>Angelica Maria Panesso</v>
      </c>
    </row>
    <row r="45" spans="1:62" ht="21" customHeight="1" x14ac:dyDescent="0.25">
      <c r="A45" s="61">
        <v>3</v>
      </c>
      <c r="B45" s="14" t="s">
        <v>71</v>
      </c>
      <c r="C45" s="15"/>
      <c r="D45" s="16">
        <v>1</v>
      </c>
      <c r="E45" s="16">
        <v>3</v>
      </c>
      <c r="F45" s="16">
        <v>1</v>
      </c>
      <c r="G45" s="17">
        <v>3</v>
      </c>
      <c r="H45" s="16">
        <v>2</v>
      </c>
      <c r="I45" s="16">
        <v>1</v>
      </c>
      <c r="J45" s="16">
        <v>2</v>
      </c>
      <c r="K45" s="16">
        <v>2</v>
      </c>
      <c r="L45" s="16">
        <v>2</v>
      </c>
      <c r="M45" s="16">
        <v>2</v>
      </c>
      <c r="N45" s="16">
        <v>2</v>
      </c>
      <c r="O45" s="16">
        <v>2</v>
      </c>
      <c r="P45" s="16">
        <v>2</v>
      </c>
      <c r="Q45" s="16">
        <v>1</v>
      </c>
      <c r="R45" s="17">
        <v>1</v>
      </c>
      <c r="S45" s="16">
        <v>2</v>
      </c>
      <c r="T45" s="16">
        <v>2</v>
      </c>
      <c r="U45" s="16">
        <v>0</v>
      </c>
      <c r="V45" s="16">
        <v>1</v>
      </c>
      <c r="W45" s="16">
        <v>2</v>
      </c>
      <c r="X45" s="16">
        <v>3</v>
      </c>
      <c r="Y45" s="16">
        <v>1</v>
      </c>
      <c r="Z45" s="16">
        <v>2</v>
      </c>
      <c r="AA45" s="17">
        <v>2</v>
      </c>
      <c r="AB45" s="16">
        <v>2</v>
      </c>
      <c r="AC45" s="16">
        <v>1</v>
      </c>
      <c r="AD45" s="17">
        <v>2</v>
      </c>
      <c r="AE45" s="17">
        <v>2</v>
      </c>
      <c r="AF45" s="17">
        <v>2</v>
      </c>
      <c r="AG45" s="16">
        <v>2</v>
      </c>
      <c r="AH45" s="16">
        <v>2</v>
      </c>
      <c r="AI45" s="17">
        <v>1</v>
      </c>
      <c r="AJ45" s="16">
        <v>2</v>
      </c>
      <c r="AK45" s="16">
        <v>0</v>
      </c>
      <c r="AL45" s="16">
        <v>0</v>
      </c>
      <c r="AM45" s="16">
        <v>3</v>
      </c>
      <c r="AN45" s="16">
        <v>1</v>
      </c>
      <c r="AO45" s="16">
        <v>2</v>
      </c>
      <c r="AP45" s="17">
        <v>1</v>
      </c>
      <c r="AQ45" s="16">
        <v>2</v>
      </c>
      <c r="AR45" s="17">
        <v>2</v>
      </c>
      <c r="AS45" s="17">
        <v>0</v>
      </c>
      <c r="AT45" s="16">
        <v>0</v>
      </c>
      <c r="AU45" s="17">
        <v>2</v>
      </c>
      <c r="AV45" s="16">
        <v>1</v>
      </c>
      <c r="AW45" s="16">
        <v>2</v>
      </c>
      <c r="AX45" s="16">
        <v>3</v>
      </c>
      <c r="AY45" s="16">
        <v>2</v>
      </c>
      <c r="AZ45" s="16">
        <v>2</v>
      </c>
      <c r="BA45" s="16">
        <v>1</v>
      </c>
      <c r="BB45" s="16">
        <v>2</v>
      </c>
      <c r="BC45" s="17">
        <v>1</v>
      </c>
      <c r="BD45" s="16">
        <v>2</v>
      </c>
      <c r="BE45" s="17">
        <v>1</v>
      </c>
      <c r="BF45" s="17">
        <v>1</v>
      </c>
      <c r="BG45" s="16">
        <v>1</v>
      </c>
      <c r="BH45" s="17">
        <v>1</v>
      </c>
      <c r="BI45" s="16">
        <v>3</v>
      </c>
      <c r="BJ45" s="16">
        <v>1</v>
      </c>
    </row>
    <row r="46" spans="1:62" ht="20.25" customHeight="1" x14ac:dyDescent="0.25">
      <c r="A46" s="62"/>
      <c r="B46" s="14" t="s">
        <v>72</v>
      </c>
      <c r="C46" s="15"/>
      <c r="D46" s="16">
        <v>2</v>
      </c>
      <c r="E46" s="16">
        <v>1</v>
      </c>
      <c r="F46" s="16">
        <v>1</v>
      </c>
      <c r="G46" s="17">
        <v>0</v>
      </c>
      <c r="H46" s="16">
        <v>1</v>
      </c>
      <c r="I46" s="16">
        <v>2</v>
      </c>
      <c r="J46" s="16">
        <v>0</v>
      </c>
      <c r="K46" s="16">
        <v>0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0</v>
      </c>
      <c r="R46" s="17">
        <v>1</v>
      </c>
      <c r="S46" s="16">
        <v>1</v>
      </c>
      <c r="T46" s="16">
        <v>0</v>
      </c>
      <c r="U46" s="16">
        <v>2</v>
      </c>
      <c r="V46" s="16">
        <v>1</v>
      </c>
      <c r="W46" s="16">
        <v>1</v>
      </c>
      <c r="X46" s="16">
        <v>0</v>
      </c>
      <c r="Y46" s="16">
        <v>1</v>
      </c>
      <c r="Z46" s="16">
        <v>1</v>
      </c>
      <c r="AA46" s="17">
        <v>1</v>
      </c>
      <c r="AB46" s="16">
        <v>1</v>
      </c>
      <c r="AC46" s="16">
        <v>1</v>
      </c>
      <c r="AD46" s="17">
        <v>0</v>
      </c>
      <c r="AE46" s="17">
        <v>1</v>
      </c>
      <c r="AF46" s="17">
        <v>0</v>
      </c>
      <c r="AG46" s="16">
        <v>1</v>
      </c>
      <c r="AH46" s="16">
        <v>1</v>
      </c>
      <c r="AI46" s="17">
        <v>1</v>
      </c>
      <c r="AJ46" s="16">
        <v>0</v>
      </c>
      <c r="AK46" s="16">
        <v>0</v>
      </c>
      <c r="AL46" s="16">
        <v>1</v>
      </c>
      <c r="AM46" s="16">
        <v>1</v>
      </c>
      <c r="AN46" s="16">
        <v>2</v>
      </c>
      <c r="AO46" s="16">
        <v>0</v>
      </c>
      <c r="AP46" s="17">
        <v>0</v>
      </c>
      <c r="AQ46" s="16">
        <v>0</v>
      </c>
      <c r="AR46" s="17">
        <v>1</v>
      </c>
      <c r="AS46" s="17">
        <v>1</v>
      </c>
      <c r="AT46" s="16">
        <v>2</v>
      </c>
      <c r="AU46" s="17">
        <v>0</v>
      </c>
      <c r="AV46" s="16">
        <v>0</v>
      </c>
      <c r="AW46" s="16">
        <v>1</v>
      </c>
      <c r="AX46" s="16">
        <v>1</v>
      </c>
      <c r="AY46" s="16">
        <v>1</v>
      </c>
      <c r="AZ46" s="16">
        <v>0</v>
      </c>
      <c r="BA46" s="16">
        <v>2</v>
      </c>
      <c r="BB46" s="16">
        <v>0</v>
      </c>
      <c r="BC46" s="17">
        <v>0</v>
      </c>
      <c r="BD46" s="16">
        <v>0</v>
      </c>
      <c r="BE46" s="17">
        <v>1</v>
      </c>
      <c r="BF46" s="17">
        <v>1</v>
      </c>
      <c r="BG46" s="16">
        <v>2</v>
      </c>
      <c r="BH46" s="17">
        <v>0</v>
      </c>
      <c r="BI46" s="16">
        <v>0</v>
      </c>
      <c r="BJ46" s="16">
        <v>0</v>
      </c>
    </row>
    <row r="47" spans="1:62" ht="15.75" customHeight="1" x14ac:dyDescent="0.25">
      <c r="A47" s="62"/>
      <c r="B47" s="18">
        <v>46185</v>
      </c>
      <c r="C47" s="60" t="s">
        <v>65</v>
      </c>
      <c r="D47" s="55">
        <f t="shared" ref="D47:BJ47" si="14">IF($C45="",0,IF(AND(D45=$C45,D46=$C46),5,IF(OR(AND(D45-D46&gt;0,$C45-$C46&gt;0),AND(D46-D45&gt;0,$C46-$C45&gt;0),AND(D45-D46=0,$C45-$C46=0)),2,0)+IF(OR(D45=$C45,D46=$C46),1,0)))</f>
        <v>0</v>
      </c>
      <c r="E47" s="55">
        <f t="shared" si="14"/>
        <v>0</v>
      </c>
      <c r="F47" s="55">
        <f t="shared" si="14"/>
        <v>0</v>
      </c>
      <c r="G47" s="55">
        <f t="shared" si="14"/>
        <v>0</v>
      </c>
      <c r="H47" s="55">
        <f t="shared" si="14"/>
        <v>0</v>
      </c>
      <c r="I47" s="55">
        <f t="shared" si="14"/>
        <v>0</v>
      </c>
      <c r="J47" s="55">
        <f t="shared" si="14"/>
        <v>0</v>
      </c>
      <c r="K47" s="55">
        <f t="shared" si="14"/>
        <v>0</v>
      </c>
      <c r="L47" s="55">
        <f t="shared" si="14"/>
        <v>0</v>
      </c>
      <c r="M47" s="55">
        <f t="shared" si="14"/>
        <v>0</v>
      </c>
      <c r="N47" s="55">
        <f t="shared" si="14"/>
        <v>0</v>
      </c>
      <c r="O47" s="55">
        <f t="shared" si="14"/>
        <v>0</v>
      </c>
      <c r="P47" s="55">
        <f t="shared" si="14"/>
        <v>0</v>
      </c>
      <c r="Q47" s="55">
        <f t="shared" si="14"/>
        <v>0</v>
      </c>
      <c r="R47" s="55">
        <f t="shared" si="14"/>
        <v>0</v>
      </c>
      <c r="S47" s="55">
        <f t="shared" si="14"/>
        <v>0</v>
      </c>
      <c r="T47" s="55">
        <f t="shared" si="14"/>
        <v>0</v>
      </c>
      <c r="U47" s="55">
        <f t="shared" si="14"/>
        <v>0</v>
      </c>
      <c r="V47" s="55">
        <f t="shared" si="14"/>
        <v>0</v>
      </c>
      <c r="W47" s="55">
        <f t="shared" si="14"/>
        <v>0</v>
      </c>
      <c r="X47" s="55">
        <f t="shared" si="14"/>
        <v>0</v>
      </c>
      <c r="Y47" s="55">
        <f t="shared" si="14"/>
        <v>0</v>
      </c>
      <c r="Z47" s="55">
        <f t="shared" si="14"/>
        <v>0</v>
      </c>
      <c r="AA47" s="55">
        <f t="shared" si="14"/>
        <v>0</v>
      </c>
      <c r="AB47" s="55">
        <f t="shared" si="14"/>
        <v>0</v>
      </c>
      <c r="AC47" s="55">
        <f t="shared" si="14"/>
        <v>0</v>
      </c>
      <c r="AD47" s="55">
        <f t="shared" si="14"/>
        <v>0</v>
      </c>
      <c r="AE47" s="55">
        <f t="shared" si="14"/>
        <v>0</v>
      </c>
      <c r="AF47" s="55">
        <f t="shared" si="14"/>
        <v>0</v>
      </c>
      <c r="AG47" s="55">
        <f t="shared" si="14"/>
        <v>0</v>
      </c>
      <c r="AH47" s="55">
        <f t="shared" si="14"/>
        <v>0</v>
      </c>
      <c r="AI47" s="55">
        <f t="shared" si="14"/>
        <v>0</v>
      </c>
      <c r="AJ47" s="55">
        <f t="shared" si="14"/>
        <v>0</v>
      </c>
      <c r="AK47" s="55">
        <f t="shared" si="14"/>
        <v>0</v>
      </c>
      <c r="AL47" s="55">
        <f t="shared" si="14"/>
        <v>0</v>
      </c>
      <c r="AM47" s="55">
        <f t="shared" si="14"/>
        <v>0</v>
      </c>
      <c r="AN47" s="55">
        <f t="shared" si="14"/>
        <v>0</v>
      </c>
      <c r="AO47" s="55">
        <f t="shared" si="14"/>
        <v>0</v>
      </c>
      <c r="AP47" s="55">
        <f t="shared" si="14"/>
        <v>0</v>
      </c>
      <c r="AQ47" s="55">
        <f t="shared" ref="AQ47" si="15">IF($C45="",0,IF(AND(AQ45=$C45,AQ46=$C46),5,IF(OR(AND(AQ45-AQ46&gt;0,$C45-$C46&gt;0),AND(AQ46-AQ45&gt;0,$C46-$C45&gt;0),AND(AQ45-AQ46=0,$C45-$C46=0)),2,0)+IF(OR(AQ45=$C45,AQ46=$C46),1,0)))</f>
        <v>0</v>
      </c>
      <c r="AR47" s="55">
        <f t="shared" si="14"/>
        <v>0</v>
      </c>
      <c r="AS47" s="55">
        <f t="shared" si="14"/>
        <v>0</v>
      </c>
      <c r="AT47" s="55">
        <f t="shared" si="14"/>
        <v>0</v>
      </c>
      <c r="AU47" s="55">
        <f t="shared" si="14"/>
        <v>0</v>
      </c>
      <c r="AV47" s="55">
        <f t="shared" si="14"/>
        <v>0</v>
      </c>
      <c r="AW47" s="55">
        <f t="shared" si="14"/>
        <v>0</v>
      </c>
      <c r="AX47" s="55">
        <f t="shared" si="14"/>
        <v>0</v>
      </c>
      <c r="AY47" s="55">
        <f t="shared" si="14"/>
        <v>0</v>
      </c>
      <c r="AZ47" s="55">
        <f t="shared" si="14"/>
        <v>0</v>
      </c>
      <c r="BA47" s="55">
        <f t="shared" si="14"/>
        <v>0</v>
      </c>
      <c r="BB47" s="55">
        <f t="shared" si="14"/>
        <v>0</v>
      </c>
      <c r="BC47" s="55">
        <f t="shared" si="14"/>
        <v>0</v>
      </c>
      <c r="BD47" s="55">
        <f t="shared" si="14"/>
        <v>0</v>
      </c>
      <c r="BE47" s="55">
        <f t="shared" si="14"/>
        <v>0</v>
      </c>
      <c r="BF47" s="55">
        <f t="shared" si="14"/>
        <v>0</v>
      </c>
      <c r="BG47" s="55">
        <f t="shared" si="14"/>
        <v>0</v>
      </c>
      <c r="BH47" s="55">
        <f t="shared" si="14"/>
        <v>0</v>
      </c>
      <c r="BI47" s="55">
        <f t="shared" si="14"/>
        <v>0</v>
      </c>
      <c r="BJ47" s="55">
        <f t="shared" si="14"/>
        <v>0</v>
      </c>
    </row>
    <row r="48" spans="1:62" ht="15.75" customHeight="1" x14ac:dyDescent="0.25">
      <c r="A48" s="62"/>
      <c r="B48" s="19">
        <v>0.58333333333333337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</row>
    <row r="49" spans="1:62" ht="15.75" customHeight="1" x14ac:dyDescent="0.25">
      <c r="A49" s="13"/>
      <c r="B49" s="13"/>
      <c r="C49" s="13"/>
      <c r="D49" s="2"/>
      <c r="E49" s="2"/>
      <c r="F49" s="2"/>
      <c r="G49" s="2"/>
      <c r="H49" s="3"/>
      <c r="I49" s="3"/>
      <c r="J49" s="3"/>
    </row>
    <row r="50" spans="1:62" ht="20.25" customHeight="1" x14ac:dyDescent="0.25">
      <c r="A50" s="61">
        <v>8</v>
      </c>
      <c r="B50" s="14" t="s">
        <v>73</v>
      </c>
      <c r="C50" s="15"/>
      <c r="D50" s="16">
        <v>0</v>
      </c>
      <c r="E50" s="16">
        <v>1</v>
      </c>
      <c r="F50" s="16">
        <v>0</v>
      </c>
      <c r="G50" s="17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1</v>
      </c>
      <c r="Q50" s="16">
        <v>1</v>
      </c>
      <c r="R50" s="17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1</v>
      </c>
      <c r="Y50" s="16">
        <v>0</v>
      </c>
      <c r="Z50" s="16">
        <v>0</v>
      </c>
      <c r="AA50" s="17">
        <v>1</v>
      </c>
      <c r="AB50" s="16">
        <v>0</v>
      </c>
      <c r="AC50" s="16">
        <v>0</v>
      </c>
      <c r="AD50" s="17">
        <v>1</v>
      </c>
      <c r="AE50" s="17">
        <v>0</v>
      </c>
      <c r="AF50" s="17">
        <v>0</v>
      </c>
      <c r="AG50" s="16">
        <v>0</v>
      </c>
      <c r="AH50" s="16">
        <v>0</v>
      </c>
      <c r="AI50" s="17">
        <v>2</v>
      </c>
      <c r="AJ50" s="16">
        <v>0</v>
      </c>
      <c r="AK50" s="16">
        <v>0</v>
      </c>
      <c r="AL50" s="16">
        <v>2</v>
      </c>
      <c r="AM50" s="16">
        <v>2</v>
      </c>
      <c r="AN50" s="16">
        <v>0</v>
      </c>
      <c r="AO50" s="16">
        <v>0</v>
      </c>
      <c r="AP50" s="17">
        <v>0</v>
      </c>
      <c r="AQ50" s="16">
        <v>1</v>
      </c>
      <c r="AR50" s="17">
        <v>0</v>
      </c>
      <c r="AS50" s="17">
        <v>0</v>
      </c>
      <c r="AT50" s="16">
        <v>1</v>
      </c>
      <c r="AU50" s="17">
        <v>0</v>
      </c>
      <c r="AV50" s="16">
        <v>1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1</v>
      </c>
      <c r="BC50" s="17">
        <v>0</v>
      </c>
      <c r="BD50" s="16">
        <v>0</v>
      </c>
      <c r="BE50" s="17">
        <v>2</v>
      </c>
      <c r="BF50" s="17">
        <v>0</v>
      </c>
      <c r="BG50" s="16">
        <v>1</v>
      </c>
      <c r="BH50" s="16">
        <v>0</v>
      </c>
      <c r="BI50" s="16">
        <v>0</v>
      </c>
      <c r="BJ50" s="16">
        <v>0</v>
      </c>
    </row>
    <row r="51" spans="1:62" ht="22.5" customHeight="1" x14ac:dyDescent="0.25">
      <c r="A51" s="62"/>
      <c r="B51" s="14" t="s">
        <v>74</v>
      </c>
      <c r="C51" s="15"/>
      <c r="D51" s="16">
        <v>2</v>
      </c>
      <c r="E51" s="16">
        <v>3</v>
      </c>
      <c r="F51" s="16">
        <v>1</v>
      </c>
      <c r="G51" s="17">
        <v>2</v>
      </c>
      <c r="H51" s="16">
        <v>2</v>
      </c>
      <c r="I51" s="16">
        <v>3</v>
      </c>
      <c r="J51" s="16">
        <v>2</v>
      </c>
      <c r="K51" s="16">
        <v>1</v>
      </c>
      <c r="L51" s="16">
        <v>2</v>
      </c>
      <c r="M51" s="16">
        <v>3</v>
      </c>
      <c r="N51" s="16">
        <v>2</v>
      </c>
      <c r="O51" s="16">
        <v>2</v>
      </c>
      <c r="P51" s="16">
        <v>2</v>
      </c>
      <c r="Q51" s="16">
        <v>1</v>
      </c>
      <c r="R51" s="17">
        <v>2</v>
      </c>
      <c r="S51" s="16">
        <v>2</v>
      </c>
      <c r="T51" s="16">
        <v>1</v>
      </c>
      <c r="U51" s="16">
        <v>3</v>
      </c>
      <c r="V51" s="16">
        <v>2</v>
      </c>
      <c r="W51" s="16">
        <v>3</v>
      </c>
      <c r="X51" s="16">
        <v>2</v>
      </c>
      <c r="Y51" s="16">
        <v>2</v>
      </c>
      <c r="Z51" s="16">
        <v>2</v>
      </c>
      <c r="AA51" s="17">
        <v>2</v>
      </c>
      <c r="AB51" s="16">
        <v>2</v>
      </c>
      <c r="AC51" s="16">
        <v>2</v>
      </c>
      <c r="AD51" s="17">
        <v>3</v>
      </c>
      <c r="AE51" s="17">
        <v>2</v>
      </c>
      <c r="AF51" s="17">
        <v>2</v>
      </c>
      <c r="AG51" s="16">
        <v>2</v>
      </c>
      <c r="AH51" s="16">
        <v>2</v>
      </c>
      <c r="AI51" s="17">
        <v>2</v>
      </c>
      <c r="AJ51" s="16">
        <v>2</v>
      </c>
      <c r="AK51" s="16">
        <v>2</v>
      </c>
      <c r="AL51" s="16">
        <v>2</v>
      </c>
      <c r="AM51" s="16">
        <v>2</v>
      </c>
      <c r="AN51" s="16">
        <v>3</v>
      </c>
      <c r="AO51" s="16">
        <v>3</v>
      </c>
      <c r="AP51" s="17">
        <v>2</v>
      </c>
      <c r="AQ51" s="16">
        <v>2</v>
      </c>
      <c r="AR51" s="17">
        <v>3</v>
      </c>
      <c r="AS51" s="17">
        <v>2</v>
      </c>
      <c r="AT51" s="16">
        <v>0</v>
      </c>
      <c r="AU51" s="17">
        <v>2</v>
      </c>
      <c r="AV51" s="16">
        <v>2</v>
      </c>
      <c r="AW51" s="16">
        <v>3</v>
      </c>
      <c r="AX51" s="16">
        <v>2</v>
      </c>
      <c r="AY51" s="16">
        <v>2</v>
      </c>
      <c r="AZ51" s="16">
        <v>3</v>
      </c>
      <c r="BA51" s="16">
        <v>3</v>
      </c>
      <c r="BB51" s="16">
        <v>1</v>
      </c>
      <c r="BC51" s="17">
        <v>2</v>
      </c>
      <c r="BD51" s="16">
        <v>2</v>
      </c>
      <c r="BE51" s="17">
        <v>1</v>
      </c>
      <c r="BF51" s="17">
        <v>3</v>
      </c>
      <c r="BG51" s="16">
        <v>2</v>
      </c>
      <c r="BH51" s="16">
        <v>2</v>
      </c>
      <c r="BI51" s="16">
        <v>2</v>
      </c>
      <c r="BJ51" s="16">
        <v>2</v>
      </c>
    </row>
    <row r="52" spans="1:62" ht="15.75" customHeight="1" x14ac:dyDescent="0.25">
      <c r="A52" s="62"/>
      <c r="B52" s="18">
        <v>46186</v>
      </c>
      <c r="C52" s="60" t="s">
        <v>65</v>
      </c>
      <c r="D52" s="55">
        <f t="shared" ref="D52:BJ52" si="16">IF($C50="",0,IF(AND(D50=$C50,D51=$C51),5,IF(OR(AND(D50-D51&gt;0,$C50-$C51&gt;0),AND(D51-D50&gt;0,$C51-$C50&gt;0),AND(D50-D51=0,$C50-$C51=0)),2,0)+IF(OR(D50=$C50,D51=$C51),1,0)))</f>
        <v>0</v>
      </c>
      <c r="E52" s="55">
        <f t="shared" si="16"/>
        <v>0</v>
      </c>
      <c r="F52" s="55">
        <f t="shared" si="16"/>
        <v>0</v>
      </c>
      <c r="G52" s="55">
        <f t="shared" si="16"/>
        <v>0</v>
      </c>
      <c r="H52" s="55">
        <f t="shared" si="16"/>
        <v>0</v>
      </c>
      <c r="I52" s="55">
        <f t="shared" si="16"/>
        <v>0</v>
      </c>
      <c r="J52" s="55">
        <f t="shared" si="16"/>
        <v>0</v>
      </c>
      <c r="K52" s="55">
        <f t="shared" si="16"/>
        <v>0</v>
      </c>
      <c r="L52" s="55">
        <f t="shared" si="16"/>
        <v>0</v>
      </c>
      <c r="M52" s="55">
        <f t="shared" si="16"/>
        <v>0</v>
      </c>
      <c r="N52" s="55">
        <f t="shared" si="16"/>
        <v>0</v>
      </c>
      <c r="O52" s="55">
        <f t="shared" si="16"/>
        <v>0</v>
      </c>
      <c r="P52" s="55">
        <f t="shared" si="16"/>
        <v>0</v>
      </c>
      <c r="Q52" s="55">
        <f t="shared" si="16"/>
        <v>0</v>
      </c>
      <c r="R52" s="55">
        <f t="shared" si="16"/>
        <v>0</v>
      </c>
      <c r="S52" s="55">
        <f t="shared" si="16"/>
        <v>0</v>
      </c>
      <c r="T52" s="55">
        <f t="shared" si="16"/>
        <v>0</v>
      </c>
      <c r="U52" s="55">
        <f t="shared" si="16"/>
        <v>0</v>
      </c>
      <c r="V52" s="55">
        <f t="shared" si="16"/>
        <v>0</v>
      </c>
      <c r="W52" s="55">
        <f t="shared" si="16"/>
        <v>0</v>
      </c>
      <c r="X52" s="55">
        <f t="shared" si="16"/>
        <v>0</v>
      </c>
      <c r="Y52" s="55">
        <f t="shared" si="16"/>
        <v>0</v>
      </c>
      <c r="Z52" s="55">
        <f t="shared" si="16"/>
        <v>0</v>
      </c>
      <c r="AA52" s="55">
        <f t="shared" si="16"/>
        <v>0</v>
      </c>
      <c r="AB52" s="55">
        <f t="shared" si="16"/>
        <v>0</v>
      </c>
      <c r="AC52" s="55">
        <f t="shared" si="16"/>
        <v>0</v>
      </c>
      <c r="AD52" s="55">
        <f t="shared" si="16"/>
        <v>0</v>
      </c>
      <c r="AE52" s="55">
        <f t="shared" si="16"/>
        <v>0</v>
      </c>
      <c r="AF52" s="55">
        <f t="shared" si="16"/>
        <v>0</v>
      </c>
      <c r="AG52" s="55">
        <f t="shared" si="16"/>
        <v>0</v>
      </c>
      <c r="AH52" s="55">
        <f t="shared" si="16"/>
        <v>0</v>
      </c>
      <c r="AI52" s="55">
        <f t="shared" si="16"/>
        <v>0</v>
      </c>
      <c r="AJ52" s="55">
        <f t="shared" si="16"/>
        <v>0</v>
      </c>
      <c r="AK52" s="55">
        <f t="shared" si="16"/>
        <v>0</v>
      </c>
      <c r="AL52" s="55">
        <f t="shared" si="16"/>
        <v>0</v>
      </c>
      <c r="AM52" s="55">
        <f t="shared" si="16"/>
        <v>0</v>
      </c>
      <c r="AN52" s="55">
        <f t="shared" si="16"/>
        <v>0</v>
      </c>
      <c r="AO52" s="55">
        <f t="shared" si="16"/>
        <v>0</v>
      </c>
      <c r="AP52" s="55">
        <f t="shared" si="16"/>
        <v>0</v>
      </c>
      <c r="AQ52" s="55">
        <f t="shared" ref="AQ52" si="17">IF($C50="",0,IF(AND(AQ50=$C50,AQ51=$C51),5,IF(OR(AND(AQ50-AQ51&gt;0,$C50-$C51&gt;0),AND(AQ51-AQ50&gt;0,$C51-$C50&gt;0),AND(AQ50-AQ51=0,$C50-$C51=0)),2,0)+IF(OR(AQ50=$C50,AQ51=$C51),1,0)))</f>
        <v>0</v>
      </c>
      <c r="AR52" s="55">
        <f t="shared" si="16"/>
        <v>0</v>
      </c>
      <c r="AS52" s="55">
        <f t="shared" si="16"/>
        <v>0</v>
      </c>
      <c r="AT52" s="55">
        <f t="shared" si="16"/>
        <v>0</v>
      </c>
      <c r="AU52" s="55">
        <f t="shared" si="16"/>
        <v>0</v>
      </c>
      <c r="AV52" s="55">
        <f t="shared" si="16"/>
        <v>0</v>
      </c>
      <c r="AW52" s="55">
        <f t="shared" si="16"/>
        <v>0</v>
      </c>
      <c r="AX52" s="55">
        <f t="shared" si="16"/>
        <v>0</v>
      </c>
      <c r="AY52" s="55">
        <f t="shared" si="16"/>
        <v>0</v>
      </c>
      <c r="AZ52" s="55">
        <f t="shared" si="16"/>
        <v>0</v>
      </c>
      <c r="BA52" s="55">
        <f t="shared" si="16"/>
        <v>0</v>
      </c>
      <c r="BB52" s="55">
        <f t="shared" si="16"/>
        <v>0</v>
      </c>
      <c r="BC52" s="55">
        <f t="shared" si="16"/>
        <v>0</v>
      </c>
      <c r="BD52" s="55">
        <f t="shared" si="16"/>
        <v>0</v>
      </c>
      <c r="BE52" s="55">
        <f t="shared" si="16"/>
        <v>0</v>
      </c>
      <c r="BF52" s="55">
        <f t="shared" si="16"/>
        <v>0</v>
      </c>
      <c r="BG52" s="55">
        <f t="shared" si="16"/>
        <v>0</v>
      </c>
      <c r="BH52" s="55">
        <f t="shared" si="16"/>
        <v>0</v>
      </c>
      <c r="BI52" s="55">
        <f t="shared" si="16"/>
        <v>0</v>
      </c>
      <c r="BJ52" s="55">
        <f t="shared" si="16"/>
        <v>0</v>
      </c>
    </row>
    <row r="53" spans="1:62" ht="15.75" customHeight="1" x14ac:dyDescent="0.25">
      <c r="A53" s="62"/>
      <c r="B53" s="19">
        <v>0.58333333333333337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</row>
    <row r="54" spans="1:62" ht="15.75" customHeight="1" x14ac:dyDescent="0.25">
      <c r="A54" s="13"/>
      <c r="B54" s="13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</row>
    <row r="55" spans="1:62" ht="18.75" customHeight="1" x14ac:dyDescent="0.25">
      <c r="A55" s="61">
        <v>26</v>
      </c>
      <c r="B55" s="14" t="s">
        <v>74</v>
      </c>
      <c r="C55" s="15"/>
      <c r="D55" s="16">
        <v>2</v>
      </c>
      <c r="E55" s="16">
        <v>2</v>
      </c>
      <c r="F55" s="16">
        <v>0</v>
      </c>
      <c r="G55" s="17">
        <v>2</v>
      </c>
      <c r="H55" s="16">
        <v>2</v>
      </c>
      <c r="I55" s="16">
        <v>2</v>
      </c>
      <c r="J55" s="16">
        <v>1</v>
      </c>
      <c r="K55" s="16">
        <v>2</v>
      </c>
      <c r="L55" s="16">
        <v>2</v>
      </c>
      <c r="M55" s="16">
        <v>2</v>
      </c>
      <c r="N55" s="16">
        <v>1</v>
      </c>
      <c r="O55" s="16">
        <v>2</v>
      </c>
      <c r="P55" s="16">
        <v>1</v>
      </c>
      <c r="Q55" s="16">
        <v>4</v>
      </c>
      <c r="R55" s="17">
        <v>1</v>
      </c>
      <c r="S55" s="16">
        <v>2</v>
      </c>
      <c r="T55" s="16">
        <v>2</v>
      </c>
      <c r="U55" s="16">
        <v>2</v>
      </c>
      <c r="V55" s="16">
        <v>2</v>
      </c>
      <c r="W55" s="16">
        <v>1</v>
      </c>
      <c r="X55" s="16">
        <v>1</v>
      </c>
      <c r="Y55" s="16">
        <v>1</v>
      </c>
      <c r="Z55" s="16">
        <v>2</v>
      </c>
      <c r="AA55" s="17">
        <v>2</v>
      </c>
      <c r="AB55" s="16">
        <v>1</v>
      </c>
      <c r="AC55" s="16">
        <v>2</v>
      </c>
      <c r="AD55" s="17">
        <v>3</v>
      </c>
      <c r="AE55" s="17">
        <v>1</v>
      </c>
      <c r="AF55" s="17">
        <v>2</v>
      </c>
      <c r="AG55" s="16">
        <v>2</v>
      </c>
      <c r="AH55" s="16">
        <v>2</v>
      </c>
      <c r="AI55" s="17">
        <v>1</v>
      </c>
      <c r="AJ55" s="16">
        <v>3</v>
      </c>
      <c r="AK55" s="16">
        <v>2</v>
      </c>
      <c r="AL55" s="16">
        <v>3</v>
      </c>
      <c r="AM55" s="16">
        <v>2</v>
      </c>
      <c r="AN55" s="16">
        <v>1</v>
      </c>
      <c r="AO55" s="16">
        <v>1</v>
      </c>
      <c r="AP55" s="17">
        <v>2</v>
      </c>
      <c r="AQ55" s="16">
        <v>1</v>
      </c>
      <c r="AR55" s="17">
        <v>2</v>
      </c>
      <c r="AS55" s="17">
        <v>1</v>
      </c>
      <c r="AT55" s="16">
        <v>1</v>
      </c>
      <c r="AU55" s="17">
        <v>2</v>
      </c>
      <c r="AV55" s="16">
        <v>1</v>
      </c>
      <c r="AW55" s="16">
        <v>3</v>
      </c>
      <c r="AX55" s="16">
        <v>2</v>
      </c>
      <c r="AY55" s="16">
        <v>2</v>
      </c>
      <c r="AZ55" s="16">
        <v>2</v>
      </c>
      <c r="BA55" s="16">
        <v>1</v>
      </c>
      <c r="BB55" s="16">
        <v>2</v>
      </c>
      <c r="BC55" s="17">
        <v>2</v>
      </c>
      <c r="BD55" s="16">
        <v>2</v>
      </c>
      <c r="BE55" s="17">
        <v>1</v>
      </c>
      <c r="BF55" s="17">
        <v>2</v>
      </c>
      <c r="BG55" s="16">
        <v>1</v>
      </c>
      <c r="BH55" s="17">
        <v>2</v>
      </c>
      <c r="BI55" s="16">
        <v>4</v>
      </c>
      <c r="BJ55" s="16">
        <v>1</v>
      </c>
    </row>
    <row r="56" spans="1:62" ht="21" customHeight="1" x14ac:dyDescent="0.25">
      <c r="A56" s="62"/>
      <c r="B56" s="14" t="s">
        <v>72</v>
      </c>
      <c r="C56" s="15"/>
      <c r="D56" s="16">
        <v>0</v>
      </c>
      <c r="E56" s="16">
        <v>1</v>
      </c>
      <c r="F56" s="16">
        <v>1</v>
      </c>
      <c r="G56" s="17">
        <v>0</v>
      </c>
      <c r="H56" s="16">
        <v>1</v>
      </c>
      <c r="I56" s="16">
        <v>2</v>
      </c>
      <c r="J56" s="16">
        <v>0</v>
      </c>
      <c r="K56" s="16">
        <v>1</v>
      </c>
      <c r="L56" s="16">
        <v>0</v>
      </c>
      <c r="M56" s="16">
        <v>1</v>
      </c>
      <c r="N56" s="16">
        <v>0</v>
      </c>
      <c r="O56" s="16">
        <v>1</v>
      </c>
      <c r="P56" s="16">
        <v>0</v>
      </c>
      <c r="Q56" s="16">
        <v>1</v>
      </c>
      <c r="R56" s="17">
        <v>0</v>
      </c>
      <c r="S56" s="16">
        <v>0</v>
      </c>
      <c r="T56" s="16">
        <v>0</v>
      </c>
      <c r="U56" s="16">
        <v>1</v>
      </c>
      <c r="V56" s="16">
        <v>1</v>
      </c>
      <c r="W56" s="16">
        <v>1</v>
      </c>
      <c r="X56" s="16">
        <v>1</v>
      </c>
      <c r="Y56" s="16">
        <v>0</v>
      </c>
      <c r="Z56" s="16">
        <v>0</v>
      </c>
      <c r="AA56" s="17">
        <v>0</v>
      </c>
      <c r="AB56" s="16">
        <v>0</v>
      </c>
      <c r="AC56" s="16">
        <v>1</v>
      </c>
      <c r="AD56" s="17">
        <v>1</v>
      </c>
      <c r="AE56" s="17">
        <v>0</v>
      </c>
      <c r="AF56" s="17">
        <v>0</v>
      </c>
      <c r="AG56" s="16">
        <v>0</v>
      </c>
      <c r="AH56" s="16">
        <v>0</v>
      </c>
      <c r="AI56" s="17">
        <v>3</v>
      </c>
      <c r="AJ56" s="16">
        <v>1</v>
      </c>
      <c r="AK56" s="16">
        <v>1</v>
      </c>
      <c r="AL56" s="16">
        <v>2</v>
      </c>
      <c r="AM56" s="16">
        <v>0</v>
      </c>
      <c r="AN56" s="16">
        <v>1</v>
      </c>
      <c r="AO56" s="16">
        <v>0</v>
      </c>
      <c r="AP56" s="17">
        <v>1</v>
      </c>
      <c r="AQ56" s="16">
        <v>0</v>
      </c>
      <c r="AR56" s="17">
        <v>1</v>
      </c>
      <c r="AS56" s="17">
        <v>1</v>
      </c>
      <c r="AT56" s="16">
        <v>1</v>
      </c>
      <c r="AU56" s="17">
        <v>0</v>
      </c>
      <c r="AV56" s="16">
        <v>0</v>
      </c>
      <c r="AW56" s="16">
        <v>1</v>
      </c>
      <c r="AX56" s="16">
        <v>0</v>
      </c>
      <c r="AY56" s="16">
        <v>1</v>
      </c>
      <c r="AZ56" s="16">
        <v>1</v>
      </c>
      <c r="BA56" s="16">
        <v>0</v>
      </c>
      <c r="BB56" s="16">
        <v>1</v>
      </c>
      <c r="BC56" s="17">
        <v>1</v>
      </c>
      <c r="BD56" s="16">
        <v>1</v>
      </c>
      <c r="BE56" s="17">
        <v>1</v>
      </c>
      <c r="BF56" s="17">
        <v>1</v>
      </c>
      <c r="BG56" s="16">
        <v>1</v>
      </c>
      <c r="BH56" s="16">
        <v>0</v>
      </c>
      <c r="BI56" s="16">
        <v>1</v>
      </c>
      <c r="BJ56" s="16">
        <v>0</v>
      </c>
    </row>
    <row r="57" spans="1:62" ht="15.75" customHeight="1" x14ac:dyDescent="0.25">
      <c r="A57" s="62"/>
      <c r="B57" s="18">
        <v>46191</v>
      </c>
      <c r="C57" s="60" t="s">
        <v>65</v>
      </c>
      <c r="D57" s="55">
        <f t="shared" ref="D57:BJ57" si="18">IF($C55="",0,IF(AND(D55=$C55,D56=$C56),5,IF(OR(AND(D55-D56&gt;0,$C55-$C56&gt;0),AND(D56-D55&gt;0,$C56-$C55&gt;0),AND(D55-D56=0,$C55-$C56=0)),2,0)+IF(OR(D55=$C55,D56=$C56),1,0)))</f>
        <v>0</v>
      </c>
      <c r="E57" s="55">
        <f t="shared" si="18"/>
        <v>0</v>
      </c>
      <c r="F57" s="55">
        <f t="shared" si="18"/>
        <v>0</v>
      </c>
      <c r="G57" s="55">
        <f t="shared" si="18"/>
        <v>0</v>
      </c>
      <c r="H57" s="55">
        <f t="shared" si="18"/>
        <v>0</v>
      </c>
      <c r="I57" s="55">
        <f t="shared" si="18"/>
        <v>0</v>
      </c>
      <c r="J57" s="55">
        <f t="shared" si="18"/>
        <v>0</v>
      </c>
      <c r="K57" s="55">
        <f t="shared" si="18"/>
        <v>0</v>
      </c>
      <c r="L57" s="55">
        <f t="shared" si="18"/>
        <v>0</v>
      </c>
      <c r="M57" s="55">
        <f t="shared" si="18"/>
        <v>0</v>
      </c>
      <c r="N57" s="55">
        <f t="shared" si="18"/>
        <v>0</v>
      </c>
      <c r="O57" s="55">
        <f t="shared" si="18"/>
        <v>0</v>
      </c>
      <c r="P57" s="55">
        <f t="shared" si="18"/>
        <v>0</v>
      </c>
      <c r="Q57" s="55">
        <f t="shared" si="18"/>
        <v>0</v>
      </c>
      <c r="R57" s="55">
        <f t="shared" si="18"/>
        <v>0</v>
      </c>
      <c r="S57" s="55">
        <f t="shared" si="18"/>
        <v>0</v>
      </c>
      <c r="T57" s="55">
        <f t="shared" si="18"/>
        <v>0</v>
      </c>
      <c r="U57" s="55">
        <f t="shared" si="18"/>
        <v>0</v>
      </c>
      <c r="V57" s="55">
        <f t="shared" si="18"/>
        <v>0</v>
      </c>
      <c r="W57" s="55">
        <f t="shared" si="18"/>
        <v>0</v>
      </c>
      <c r="X57" s="55">
        <f t="shared" si="18"/>
        <v>0</v>
      </c>
      <c r="Y57" s="55">
        <f t="shared" si="18"/>
        <v>0</v>
      </c>
      <c r="Z57" s="55">
        <f t="shared" si="18"/>
        <v>0</v>
      </c>
      <c r="AA57" s="55">
        <f t="shared" si="18"/>
        <v>0</v>
      </c>
      <c r="AB57" s="55">
        <f t="shared" si="18"/>
        <v>0</v>
      </c>
      <c r="AC57" s="55">
        <f t="shared" si="18"/>
        <v>0</v>
      </c>
      <c r="AD57" s="55">
        <f t="shared" si="18"/>
        <v>0</v>
      </c>
      <c r="AE57" s="55">
        <f t="shared" si="18"/>
        <v>0</v>
      </c>
      <c r="AF57" s="55">
        <f t="shared" si="18"/>
        <v>0</v>
      </c>
      <c r="AG57" s="55">
        <f t="shared" si="18"/>
        <v>0</v>
      </c>
      <c r="AH57" s="55">
        <f t="shared" si="18"/>
        <v>0</v>
      </c>
      <c r="AI57" s="55">
        <f t="shared" si="18"/>
        <v>0</v>
      </c>
      <c r="AJ57" s="55">
        <f t="shared" si="18"/>
        <v>0</v>
      </c>
      <c r="AK57" s="55">
        <f t="shared" si="18"/>
        <v>0</v>
      </c>
      <c r="AL57" s="55">
        <f t="shared" si="18"/>
        <v>0</v>
      </c>
      <c r="AM57" s="55">
        <f t="shared" si="18"/>
        <v>0</v>
      </c>
      <c r="AN57" s="55">
        <f t="shared" si="18"/>
        <v>0</v>
      </c>
      <c r="AO57" s="55">
        <f t="shared" si="18"/>
        <v>0</v>
      </c>
      <c r="AP57" s="55">
        <f t="shared" si="18"/>
        <v>0</v>
      </c>
      <c r="AQ57" s="55">
        <f t="shared" ref="AQ57" si="19">IF($C55="",0,IF(AND(AQ55=$C55,AQ56=$C56),5,IF(OR(AND(AQ55-AQ56&gt;0,$C55-$C56&gt;0),AND(AQ56-AQ55&gt;0,$C56-$C55&gt;0),AND(AQ55-AQ56=0,$C55-$C56=0)),2,0)+IF(OR(AQ55=$C55,AQ56=$C56),1,0)))</f>
        <v>0</v>
      </c>
      <c r="AR57" s="55">
        <f t="shared" si="18"/>
        <v>0</v>
      </c>
      <c r="AS57" s="55">
        <f t="shared" si="18"/>
        <v>0</v>
      </c>
      <c r="AT57" s="55">
        <f t="shared" si="18"/>
        <v>0</v>
      </c>
      <c r="AU57" s="55">
        <f t="shared" si="18"/>
        <v>0</v>
      </c>
      <c r="AV57" s="55">
        <f t="shared" si="18"/>
        <v>0</v>
      </c>
      <c r="AW57" s="55">
        <f t="shared" si="18"/>
        <v>0</v>
      </c>
      <c r="AX57" s="55">
        <f t="shared" si="18"/>
        <v>0</v>
      </c>
      <c r="AY57" s="55">
        <f t="shared" si="18"/>
        <v>0</v>
      </c>
      <c r="AZ57" s="55">
        <f t="shared" si="18"/>
        <v>0</v>
      </c>
      <c r="BA57" s="55">
        <f t="shared" si="18"/>
        <v>0</v>
      </c>
      <c r="BB57" s="55">
        <f t="shared" si="18"/>
        <v>0</v>
      </c>
      <c r="BC57" s="55">
        <f t="shared" si="18"/>
        <v>0</v>
      </c>
      <c r="BD57" s="55">
        <f t="shared" si="18"/>
        <v>0</v>
      </c>
      <c r="BE57" s="55">
        <f t="shared" si="18"/>
        <v>0</v>
      </c>
      <c r="BF57" s="55">
        <f t="shared" si="18"/>
        <v>0</v>
      </c>
      <c r="BG57" s="55">
        <f t="shared" si="18"/>
        <v>0</v>
      </c>
      <c r="BH57" s="55">
        <f t="shared" si="18"/>
        <v>0</v>
      </c>
      <c r="BI57" s="55">
        <f t="shared" si="18"/>
        <v>0</v>
      </c>
      <c r="BJ57" s="55">
        <f t="shared" si="18"/>
        <v>0</v>
      </c>
    </row>
    <row r="58" spans="1:62" ht="15.75" customHeight="1" x14ac:dyDescent="0.25">
      <c r="A58" s="62"/>
      <c r="B58" s="19">
        <v>0.58333333333333337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</row>
    <row r="59" spans="1:62" ht="15.75" customHeight="1" x14ac:dyDescent="0.25">
      <c r="A59" s="13"/>
      <c r="B59" s="13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spans="1:62" ht="22.5" customHeight="1" x14ac:dyDescent="0.25">
      <c r="A60" s="61">
        <v>27</v>
      </c>
      <c r="B60" s="14" t="s">
        <v>71</v>
      </c>
      <c r="C60" s="15"/>
      <c r="D60" s="16">
        <v>2</v>
      </c>
      <c r="E60" s="16">
        <v>2</v>
      </c>
      <c r="F60" s="16">
        <v>3</v>
      </c>
      <c r="G60" s="17">
        <v>2</v>
      </c>
      <c r="H60" s="16">
        <v>3</v>
      </c>
      <c r="I60" s="16">
        <v>3</v>
      </c>
      <c r="J60" s="16">
        <v>2</v>
      </c>
      <c r="K60" s="16">
        <v>1</v>
      </c>
      <c r="L60" s="16">
        <v>2</v>
      </c>
      <c r="M60" s="16">
        <v>2</v>
      </c>
      <c r="N60" s="16">
        <v>3</v>
      </c>
      <c r="O60" s="16">
        <v>2</v>
      </c>
      <c r="P60" s="16">
        <v>2</v>
      </c>
      <c r="Q60" s="16">
        <v>2</v>
      </c>
      <c r="R60" s="17">
        <v>2</v>
      </c>
      <c r="S60" s="16">
        <v>1</v>
      </c>
      <c r="T60" s="16">
        <v>1</v>
      </c>
      <c r="U60" s="16">
        <v>1</v>
      </c>
      <c r="V60" s="16">
        <v>2</v>
      </c>
      <c r="W60" s="16">
        <v>4</v>
      </c>
      <c r="X60" s="16">
        <v>3</v>
      </c>
      <c r="Y60" s="16">
        <v>2</v>
      </c>
      <c r="Z60" s="16">
        <v>3</v>
      </c>
      <c r="AA60" s="17">
        <v>3</v>
      </c>
      <c r="AB60" s="16">
        <v>2</v>
      </c>
      <c r="AC60" s="16">
        <v>2</v>
      </c>
      <c r="AD60" s="17">
        <v>3</v>
      </c>
      <c r="AE60" s="17">
        <v>2</v>
      </c>
      <c r="AF60" s="17">
        <v>1</v>
      </c>
      <c r="AG60" s="16">
        <v>2</v>
      </c>
      <c r="AH60" s="16">
        <v>2</v>
      </c>
      <c r="AI60" s="17">
        <v>1</v>
      </c>
      <c r="AJ60" s="16">
        <v>2</v>
      </c>
      <c r="AK60" s="16">
        <v>0</v>
      </c>
      <c r="AL60" s="16">
        <v>2</v>
      </c>
      <c r="AM60" s="16">
        <v>2</v>
      </c>
      <c r="AN60" s="16">
        <v>3</v>
      </c>
      <c r="AO60" s="16">
        <v>2</v>
      </c>
      <c r="AP60" s="17">
        <v>3</v>
      </c>
      <c r="AQ60" s="16">
        <v>2</v>
      </c>
      <c r="AR60" s="17">
        <v>3</v>
      </c>
      <c r="AS60" s="17">
        <v>1</v>
      </c>
      <c r="AT60" s="16">
        <v>1</v>
      </c>
      <c r="AU60" s="17">
        <v>2</v>
      </c>
      <c r="AV60" s="16">
        <v>2</v>
      </c>
      <c r="AW60" s="16">
        <v>2</v>
      </c>
      <c r="AX60" s="16">
        <v>2</v>
      </c>
      <c r="AY60" s="16">
        <v>3</v>
      </c>
      <c r="AZ60" s="16">
        <v>2</v>
      </c>
      <c r="BA60" s="16">
        <v>2</v>
      </c>
      <c r="BB60" s="16">
        <v>1</v>
      </c>
      <c r="BC60" s="17">
        <v>1</v>
      </c>
      <c r="BD60" s="16">
        <v>3</v>
      </c>
      <c r="BE60" s="17">
        <v>0</v>
      </c>
      <c r="BF60" s="17">
        <v>1</v>
      </c>
      <c r="BG60" s="16">
        <v>0</v>
      </c>
      <c r="BH60" s="17">
        <v>2</v>
      </c>
      <c r="BI60" s="16">
        <v>2</v>
      </c>
      <c r="BJ60" s="16">
        <v>2</v>
      </c>
    </row>
    <row r="61" spans="1:62" ht="21" customHeight="1" x14ac:dyDescent="0.25">
      <c r="A61" s="62"/>
      <c r="B61" s="14" t="s">
        <v>73</v>
      </c>
      <c r="C61" s="15"/>
      <c r="D61" s="16">
        <v>0</v>
      </c>
      <c r="E61" s="16">
        <v>2</v>
      </c>
      <c r="F61" s="16">
        <v>2</v>
      </c>
      <c r="G61" s="17">
        <v>0</v>
      </c>
      <c r="H61" s="16">
        <v>0</v>
      </c>
      <c r="I61" s="16">
        <v>1</v>
      </c>
      <c r="J61" s="16">
        <v>1</v>
      </c>
      <c r="K61" s="16">
        <v>1</v>
      </c>
      <c r="L61" s="16">
        <v>1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7">
        <v>0</v>
      </c>
      <c r="S61" s="16">
        <v>1</v>
      </c>
      <c r="T61" s="16">
        <v>1</v>
      </c>
      <c r="U61" s="16">
        <v>0</v>
      </c>
      <c r="V61" s="16">
        <v>1</v>
      </c>
      <c r="W61" s="16">
        <v>1</v>
      </c>
      <c r="X61" s="16">
        <v>1</v>
      </c>
      <c r="Y61" s="16">
        <v>0</v>
      </c>
      <c r="Z61" s="16">
        <v>1</v>
      </c>
      <c r="AA61" s="17">
        <v>1</v>
      </c>
      <c r="AB61" s="16">
        <v>0</v>
      </c>
      <c r="AC61" s="16">
        <v>0</v>
      </c>
      <c r="AD61" s="17">
        <v>0</v>
      </c>
      <c r="AE61" s="17">
        <v>0</v>
      </c>
      <c r="AF61" s="17">
        <v>1</v>
      </c>
      <c r="AG61" s="16">
        <v>0</v>
      </c>
      <c r="AH61" s="16">
        <v>0</v>
      </c>
      <c r="AI61" s="17">
        <v>2</v>
      </c>
      <c r="AJ61" s="16">
        <v>2</v>
      </c>
      <c r="AK61" s="16">
        <v>0</v>
      </c>
      <c r="AL61" s="16">
        <v>1</v>
      </c>
      <c r="AM61" s="16">
        <v>1</v>
      </c>
      <c r="AN61" s="16">
        <v>1</v>
      </c>
      <c r="AO61" s="16">
        <v>1</v>
      </c>
      <c r="AP61" s="17">
        <v>0</v>
      </c>
      <c r="AQ61" s="16">
        <v>1</v>
      </c>
      <c r="AR61" s="17">
        <v>1</v>
      </c>
      <c r="AS61" s="17">
        <v>2</v>
      </c>
      <c r="AT61" s="16">
        <v>0</v>
      </c>
      <c r="AU61" s="17">
        <v>0</v>
      </c>
      <c r="AV61" s="16">
        <v>2</v>
      </c>
      <c r="AW61" s="16">
        <v>0</v>
      </c>
      <c r="AX61" s="16">
        <v>0</v>
      </c>
      <c r="AY61" s="16">
        <v>1</v>
      </c>
      <c r="AZ61" s="16">
        <v>0</v>
      </c>
      <c r="BA61" s="16">
        <v>0</v>
      </c>
      <c r="BB61" s="16">
        <v>0</v>
      </c>
      <c r="BC61" s="17">
        <v>0</v>
      </c>
      <c r="BD61" s="16">
        <v>0</v>
      </c>
      <c r="BE61" s="17">
        <v>1</v>
      </c>
      <c r="BF61" s="17">
        <v>0</v>
      </c>
      <c r="BG61" s="16">
        <v>1</v>
      </c>
      <c r="BH61" s="17">
        <v>0</v>
      </c>
      <c r="BI61" s="16">
        <v>0</v>
      </c>
      <c r="BJ61" s="16">
        <v>0</v>
      </c>
    </row>
    <row r="62" spans="1:62" ht="15.75" customHeight="1" x14ac:dyDescent="0.25">
      <c r="A62" s="62"/>
      <c r="B62" s="18">
        <v>46191</v>
      </c>
      <c r="C62" s="60" t="s">
        <v>65</v>
      </c>
      <c r="D62" s="55">
        <f t="shared" ref="D62:BJ62" si="20">IF($C60="",0,IF(AND(D60=$C60,D61=$C61),5,IF(OR(AND(D60-D61&gt;0,$C60-$C61&gt;0),AND(D61-D60&gt;0,$C61-$C60&gt;0),AND(D60-D61=0,$C60-$C61=0)),2,0)+IF(OR(D60=$C60,D61=$C61),1,0)))</f>
        <v>0</v>
      </c>
      <c r="E62" s="55">
        <f t="shared" si="20"/>
        <v>0</v>
      </c>
      <c r="F62" s="55">
        <f t="shared" si="20"/>
        <v>0</v>
      </c>
      <c r="G62" s="55">
        <f t="shared" si="20"/>
        <v>0</v>
      </c>
      <c r="H62" s="55">
        <f t="shared" si="20"/>
        <v>0</v>
      </c>
      <c r="I62" s="55">
        <f t="shared" si="20"/>
        <v>0</v>
      </c>
      <c r="J62" s="55">
        <f t="shared" si="20"/>
        <v>0</v>
      </c>
      <c r="K62" s="55">
        <f t="shared" si="20"/>
        <v>0</v>
      </c>
      <c r="L62" s="55">
        <f t="shared" si="20"/>
        <v>0</v>
      </c>
      <c r="M62" s="55">
        <f t="shared" si="20"/>
        <v>0</v>
      </c>
      <c r="N62" s="55">
        <f t="shared" si="20"/>
        <v>0</v>
      </c>
      <c r="O62" s="55">
        <f t="shared" si="20"/>
        <v>0</v>
      </c>
      <c r="P62" s="55">
        <f t="shared" si="20"/>
        <v>0</v>
      </c>
      <c r="Q62" s="55">
        <f t="shared" si="20"/>
        <v>0</v>
      </c>
      <c r="R62" s="55">
        <f t="shared" si="20"/>
        <v>0</v>
      </c>
      <c r="S62" s="55">
        <f t="shared" si="20"/>
        <v>0</v>
      </c>
      <c r="T62" s="55">
        <f t="shared" si="20"/>
        <v>0</v>
      </c>
      <c r="U62" s="55">
        <f t="shared" si="20"/>
        <v>0</v>
      </c>
      <c r="V62" s="55">
        <f t="shared" si="20"/>
        <v>0</v>
      </c>
      <c r="W62" s="55">
        <f t="shared" si="20"/>
        <v>0</v>
      </c>
      <c r="X62" s="55">
        <f t="shared" si="20"/>
        <v>0</v>
      </c>
      <c r="Y62" s="55">
        <f t="shared" si="20"/>
        <v>0</v>
      </c>
      <c r="Z62" s="55">
        <f t="shared" si="20"/>
        <v>0</v>
      </c>
      <c r="AA62" s="55">
        <f t="shared" si="20"/>
        <v>0</v>
      </c>
      <c r="AB62" s="55">
        <f t="shared" si="20"/>
        <v>0</v>
      </c>
      <c r="AC62" s="55">
        <f t="shared" si="20"/>
        <v>0</v>
      </c>
      <c r="AD62" s="55">
        <f t="shared" si="20"/>
        <v>0</v>
      </c>
      <c r="AE62" s="55">
        <f t="shared" si="20"/>
        <v>0</v>
      </c>
      <c r="AF62" s="55">
        <f t="shared" si="20"/>
        <v>0</v>
      </c>
      <c r="AG62" s="55">
        <f t="shared" si="20"/>
        <v>0</v>
      </c>
      <c r="AH62" s="55">
        <f t="shared" si="20"/>
        <v>0</v>
      </c>
      <c r="AI62" s="55">
        <f t="shared" si="20"/>
        <v>0</v>
      </c>
      <c r="AJ62" s="55">
        <f t="shared" si="20"/>
        <v>0</v>
      </c>
      <c r="AK62" s="55">
        <f t="shared" si="20"/>
        <v>0</v>
      </c>
      <c r="AL62" s="55">
        <f t="shared" si="20"/>
        <v>0</v>
      </c>
      <c r="AM62" s="55">
        <f t="shared" si="20"/>
        <v>0</v>
      </c>
      <c r="AN62" s="55">
        <f t="shared" si="20"/>
        <v>0</v>
      </c>
      <c r="AO62" s="55">
        <f t="shared" si="20"/>
        <v>0</v>
      </c>
      <c r="AP62" s="55">
        <f t="shared" si="20"/>
        <v>0</v>
      </c>
      <c r="AQ62" s="55">
        <f t="shared" ref="AQ62" si="21">IF($C60="",0,IF(AND(AQ60=$C60,AQ61=$C61),5,IF(OR(AND(AQ60-AQ61&gt;0,$C60-$C61&gt;0),AND(AQ61-AQ60&gt;0,$C61-$C60&gt;0),AND(AQ60-AQ61=0,$C60-$C61=0)),2,0)+IF(OR(AQ60=$C60,AQ61=$C61),1,0)))</f>
        <v>0</v>
      </c>
      <c r="AR62" s="55">
        <f t="shared" si="20"/>
        <v>0</v>
      </c>
      <c r="AS62" s="55">
        <f t="shared" si="20"/>
        <v>0</v>
      </c>
      <c r="AT62" s="55">
        <f t="shared" si="20"/>
        <v>0</v>
      </c>
      <c r="AU62" s="55">
        <f t="shared" si="20"/>
        <v>0</v>
      </c>
      <c r="AV62" s="55">
        <f t="shared" si="20"/>
        <v>0</v>
      </c>
      <c r="AW62" s="55">
        <f t="shared" si="20"/>
        <v>0</v>
      </c>
      <c r="AX62" s="55">
        <f t="shared" si="20"/>
        <v>0</v>
      </c>
      <c r="AY62" s="55">
        <f t="shared" si="20"/>
        <v>0</v>
      </c>
      <c r="AZ62" s="55">
        <f t="shared" si="20"/>
        <v>0</v>
      </c>
      <c r="BA62" s="55">
        <f t="shared" si="20"/>
        <v>0</v>
      </c>
      <c r="BB62" s="55">
        <f t="shared" si="20"/>
        <v>0</v>
      </c>
      <c r="BC62" s="55">
        <f t="shared" si="20"/>
        <v>0</v>
      </c>
      <c r="BD62" s="55">
        <f t="shared" si="20"/>
        <v>0</v>
      </c>
      <c r="BE62" s="55">
        <f t="shared" si="20"/>
        <v>0</v>
      </c>
      <c r="BF62" s="55">
        <f t="shared" si="20"/>
        <v>0</v>
      </c>
      <c r="BG62" s="55">
        <f t="shared" si="20"/>
        <v>0</v>
      </c>
      <c r="BH62" s="55">
        <f t="shared" si="20"/>
        <v>0</v>
      </c>
      <c r="BI62" s="55">
        <f t="shared" si="20"/>
        <v>0</v>
      </c>
      <c r="BJ62" s="55">
        <f t="shared" si="20"/>
        <v>0</v>
      </c>
    </row>
    <row r="63" spans="1:62" ht="15.75" customHeight="1" x14ac:dyDescent="0.25">
      <c r="A63" s="62"/>
      <c r="B63" s="19">
        <v>0.70833333333333337</v>
      </c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</row>
    <row r="64" spans="1:62" ht="15.75" customHeight="1" x14ac:dyDescent="0.25">
      <c r="A64" s="23"/>
    </row>
    <row r="65" spans="1:62" ht="24" customHeight="1" x14ac:dyDescent="0.25">
      <c r="A65" s="61">
        <v>51</v>
      </c>
      <c r="B65" s="14" t="s">
        <v>74</v>
      </c>
      <c r="C65" s="15"/>
      <c r="D65" s="16">
        <v>1</v>
      </c>
      <c r="E65" s="16">
        <v>4</v>
      </c>
      <c r="F65" s="16">
        <v>0</v>
      </c>
      <c r="G65" s="17">
        <v>1</v>
      </c>
      <c r="H65" s="16">
        <v>1</v>
      </c>
      <c r="I65" s="16">
        <v>0</v>
      </c>
      <c r="J65" s="16">
        <v>1</v>
      </c>
      <c r="K65" s="16">
        <v>2</v>
      </c>
      <c r="L65" s="16">
        <v>1</v>
      </c>
      <c r="M65" s="16">
        <v>1</v>
      </c>
      <c r="N65" s="16">
        <v>1</v>
      </c>
      <c r="O65" s="16">
        <v>1</v>
      </c>
      <c r="P65" s="16">
        <v>2</v>
      </c>
      <c r="Q65" s="16">
        <v>1</v>
      </c>
      <c r="R65" s="17">
        <v>3</v>
      </c>
      <c r="S65" s="16">
        <v>1</v>
      </c>
      <c r="T65" s="16">
        <v>1</v>
      </c>
      <c r="U65" s="16">
        <v>3</v>
      </c>
      <c r="V65" s="16">
        <v>1</v>
      </c>
      <c r="W65" s="16">
        <v>2</v>
      </c>
      <c r="X65" s="16">
        <v>2</v>
      </c>
      <c r="Y65" s="16">
        <v>1</v>
      </c>
      <c r="Z65" s="16">
        <v>1</v>
      </c>
      <c r="AA65" s="17">
        <v>2</v>
      </c>
      <c r="AB65" s="16">
        <v>1</v>
      </c>
      <c r="AC65" s="16">
        <v>1</v>
      </c>
      <c r="AD65" s="17">
        <v>1</v>
      </c>
      <c r="AE65" s="17">
        <v>1</v>
      </c>
      <c r="AF65" s="17">
        <v>1</v>
      </c>
      <c r="AG65" s="16">
        <v>1</v>
      </c>
      <c r="AH65" s="16">
        <v>1</v>
      </c>
      <c r="AI65" s="17">
        <v>1</v>
      </c>
      <c r="AJ65" s="16">
        <v>2</v>
      </c>
      <c r="AK65" s="16">
        <v>1</v>
      </c>
      <c r="AL65" s="16">
        <v>3</v>
      </c>
      <c r="AM65" s="16">
        <v>2</v>
      </c>
      <c r="AN65" s="16">
        <v>2</v>
      </c>
      <c r="AO65" s="16">
        <v>1</v>
      </c>
      <c r="AP65" s="17">
        <v>2</v>
      </c>
      <c r="AQ65" s="16">
        <v>1</v>
      </c>
      <c r="AR65" s="17">
        <v>2</v>
      </c>
      <c r="AS65" s="17">
        <v>2</v>
      </c>
      <c r="AT65" s="16">
        <v>1</v>
      </c>
      <c r="AU65" s="17">
        <v>2</v>
      </c>
      <c r="AV65" s="16">
        <v>1</v>
      </c>
      <c r="AW65" s="16">
        <v>2</v>
      </c>
      <c r="AX65" s="16">
        <v>1</v>
      </c>
      <c r="AY65" s="16">
        <v>1</v>
      </c>
      <c r="AZ65" s="16">
        <v>1</v>
      </c>
      <c r="BA65" s="16">
        <v>3</v>
      </c>
      <c r="BB65" s="16">
        <v>0</v>
      </c>
      <c r="BC65" s="17">
        <v>1</v>
      </c>
      <c r="BD65" s="16">
        <v>0</v>
      </c>
      <c r="BE65" s="17">
        <v>2</v>
      </c>
      <c r="BF65" s="17">
        <v>2</v>
      </c>
      <c r="BG65" s="16">
        <v>2</v>
      </c>
      <c r="BH65" s="17">
        <v>1</v>
      </c>
      <c r="BI65" s="16">
        <v>1</v>
      </c>
      <c r="BJ65" s="16">
        <v>2</v>
      </c>
    </row>
    <row r="66" spans="1:62" ht="20.25" customHeight="1" x14ac:dyDescent="0.25">
      <c r="A66" s="62"/>
      <c r="B66" s="14" t="s">
        <v>71</v>
      </c>
      <c r="C66" s="15"/>
      <c r="D66" s="16">
        <v>1</v>
      </c>
      <c r="E66" s="16">
        <v>3</v>
      </c>
      <c r="F66" s="16">
        <v>0</v>
      </c>
      <c r="G66" s="17">
        <v>1</v>
      </c>
      <c r="H66" s="16">
        <v>1</v>
      </c>
      <c r="I66" s="16">
        <v>0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0</v>
      </c>
      <c r="R66" s="17">
        <v>1</v>
      </c>
      <c r="S66" s="16">
        <v>1</v>
      </c>
      <c r="T66" s="16">
        <v>1</v>
      </c>
      <c r="U66" s="16">
        <v>0</v>
      </c>
      <c r="V66" s="16">
        <v>1</v>
      </c>
      <c r="W66" s="16">
        <v>2</v>
      </c>
      <c r="X66" s="16">
        <v>1</v>
      </c>
      <c r="Y66" s="16">
        <v>1</v>
      </c>
      <c r="Z66" s="16">
        <v>1</v>
      </c>
      <c r="AA66" s="17">
        <v>2</v>
      </c>
      <c r="AB66" s="16">
        <v>1</v>
      </c>
      <c r="AC66" s="16">
        <v>1</v>
      </c>
      <c r="AD66" s="17">
        <v>1</v>
      </c>
      <c r="AE66" s="17">
        <v>1</v>
      </c>
      <c r="AF66" s="17">
        <v>1</v>
      </c>
      <c r="AG66" s="16">
        <v>1</v>
      </c>
      <c r="AH66" s="16">
        <v>0</v>
      </c>
      <c r="AI66" s="17">
        <v>2</v>
      </c>
      <c r="AJ66" s="16">
        <v>1</v>
      </c>
      <c r="AK66" s="16">
        <v>0</v>
      </c>
      <c r="AL66" s="16">
        <v>2</v>
      </c>
      <c r="AM66" s="16">
        <v>2</v>
      </c>
      <c r="AN66" s="16">
        <v>1</v>
      </c>
      <c r="AO66" s="16">
        <v>1</v>
      </c>
      <c r="AP66" s="17">
        <v>2</v>
      </c>
      <c r="AQ66" s="16">
        <v>1</v>
      </c>
      <c r="AR66" s="17">
        <v>2</v>
      </c>
      <c r="AS66" s="17">
        <v>0</v>
      </c>
      <c r="AT66" s="16">
        <v>1</v>
      </c>
      <c r="AU66" s="17">
        <v>1</v>
      </c>
      <c r="AV66" s="16">
        <v>0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2</v>
      </c>
      <c r="BC66" s="17">
        <v>1</v>
      </c>
      <c r="BD66" s="16">
        <v>0</v>
      </c>
      <c r="BE66" s="17">
        <v>2</v>
      </c>
      <c r="BF66" s="17">
        <v>1</v>
      </c>
      <c r="BG66" s="16">
        <v>2</v>
      </c>
      <c r="BH66" s="17">
        <v>0</v>
      </c>
      <c r="BI66" s="16">
        <v>1</v>
      </c>
      <c r="BJ66" s="16">
        <v>2</v>
      </c>
    </row>
    <row r="67" spans="1:62" ht="15.75" customHeight="1" x14ac:dyDescent="0.25">
      <c r="A67" s="62"/>
      <c r="B67" s="18">
        <v>46197</v>
      </c>
      <c r="C67" s="60" t="s">
        <v>65</v>
      </c>
      <c r="D67" s="55">
        <f t="shared" ref="D67:BJ67" si="22">IF($C65="",0,IF(AND(D65=$C65,D66=$C66),5,IF(OR(AND(D65-D66&gt;0,$C65-$C66&gt;0),AND(D66-D65&gt;0,$C66-$C65&gt;0),AND(D65-D66=0,$C65-$C66=0)),2,0)+IF(OR(D65=$C65,D66=$C66),1,0)))</f>
        <v>0</v>
      </c>
      <c r="E67" s="55">
        <f t="shared" si="22"/>
        <v>0</v>
      </c>
      <c r="F67" s="55">
        <f t="shared" si="22"/>
        <v>0</v>
      </c>
      <c r="G67" s="55">
        <f t="shared" si="22"/>
        <v>0</v>
      </c>
      <c r="H67" s="55">
        <f t="shared" si="22"/>
        <v>0</v>
      </c>
      <c r="I67" s="55">
        <f t="shared" si="22"/>
        <v>0</v>
      </c>
      <c r="J67" s="55">
        <f t="shared" si="22"/>
        <v>0</v>
      </c>
      <c r="K67" s="55">
        <f t="shared" si="22"/>
        <v>0</v>
      </c>
      <c r="L67" s="55">
        <f t="shared" si="22"/>
        <v>0</v>
      </c>
      <c r="M67" s="55">
        <f t="shared" si="22"/>
        <v>0</v>
      </c>
      <c r="N67" s="55">
        <f t="shared" si="22"/>
        <v>0</v>
      </c>
      <c r="O67" s="55">
        <f t="shared" si="22"/>
        <v>0</v>
      </c>
      <c r="P67" s="55">
        <f t="shared" si="22"/>
        <v>0</v>
      </c>
      <c r="Q67" s="55">
        <f t="shared" si="22"/>
        <v>0</v>
      </c>
      <c r="R67" s="55">
        <f t="shared" si="22"/>
        <v>0</v>
      </c>
      <c r="S67" s="55">
        <f t="shared" si="22"/>
        <v>0</v>
      </c>
      <c r="T67" s="55">
        <f t="shared" si="22"/>
        <v>0</v>
      </c>
      <c r="U67" s="55">
        <f t="shared" si="22"/>
        <v>0</v>
      </c>
      <c r="V67" s="55">
        <f t="shared" si="22"/>
        <v>0</v>
      </c>
      <c r="W67" s="55">
        <f t="shared" si="22"/>
        <v>0</v>
      </c>
      <c r="X67" s="55">
        <f t="shared" si="22"/>
        <v>0</v>
      </c>
      <c r="Y67" s="55">
        <f t="shared" si="22"/>
        <v>0</v>
      </c>
      <c r="Z67" s="55">
        <f t="shared" si="22"/>
        <v>0</v>
      </c>
      <c r="AA67" s="55">
        <f t="shared" si="22"/>
        <v>0</v>
      </c>
      <c r="AB67" s="55">
        <f t="shared" si="22"/>
        <v>0</v>
      </c>
      <c r="AC67" s="55">
        <f t="shared" si="22"/>
        <v>0</v>
      </c>
      <c r="AD67" s="55">
        <f t="shared" si="22"/>
        <v>0</v>
      </c>
      <c r="AE67" s="55">
        <f t="shared" si="22"/>
        <v>0</v>
      </c>
      <c r="AF67" s="55">
        <f t="shared" si="22"/>
        <v>0</v>
      </c>
      <c r="AG67" s="55">
        <f t="shared" si="22"/>
        <v>0</v>
      </c>
      <c r="AH67" s="55">
        <f t="shared" si="22"/>
        <v>0</v>
      </c>
      <c r="AI67" s="55">
        <f t="shared" si="22"/>
        <v>0</v>
      </c>
      <c r="AJ67" s="55">
        <f t="shared" si="22"/>
        <v>0</v>
      </c>
      <c r="AK67" s="55">
        <f t="shared" si="22"/>
        <v>0</v>
      </c>
      <c r="AL67" s="55">
        <f t="shared" si="22"/>
        <v>0</v>
      </c>
      <c r="AM67" s="55">
        <f t="shared" si="22"/>
        <v>0</v>
      </c>
      <c r="AN67" s="55">
        <f t="shared" si="22"/>
        <v>0</v>
      </c>
      <c r="AO67" s="55">
        <f t="shared" si="22"/>
        <v>0</v>
      </c>
      <c r="AP67" s="55">
        <f t="shared" si="22"/>
        <v>0</v>
      </c>
      <c r="AQ67" s="55">
        <f t="shared" ref="AQ67" si="23">IF($C65="",0,IF(AND(AQ65=$C65,AQ66=$C66),5,IF(OR(AND(AQ65-AQ66&gt;0,$C65-$C66&gt;0),AND(AQ66-AQ65&gt;0,$C66-$C65&gt;0),AND(AQ65-AQ66=0,$C65-$C66=0)),2,0)+IF(OR(AQ65=$C65,AQ66=$C66),1,0)))</f>
        <v>0</v>
      </c>
      <c r="AR67" s="55">
        <f t="shared" si="22"/>
        <v>0</v>
      </c>
      <c r="AS67" s="55">
        <f t="shared" si="22"/>
        <v>0</v>
      </c>
      <c r="AT67" s="55">
        <f t="shared" si="22"/>
        <v>0</v>
      </c>
      <c r="AU67" s="55">
        <f t="shared" si="22"/>
        <v>0</v>
      </c>
      <c r="AV67" s="55">
        <f t="shared" si="22"/>
        <v>0</v>
      </c>
      <c r="AW67" s="55">
        <f t="shared" si="22"/>
        <v>0</v>
      </c>
      <c r="AX67" s="55">
        <f t="shared" si="22"/>
        <v>0</v>
      </c>
      <c r="AY67" s="55">
        <f t="shared" si="22"/>
        <v>0</v>
      </c>
      <c r="AZ67" s="55">
        <f t="shared" si="22"/>
        <v>0</v>
      </c>
      <c r="BA67" s="55">
        <f t="shared" si="22"/>
        <v>0</v>
      </c>
      <c r="BB67" s="55">
        <f t="shared" si="22"/>
        <v>0</v>
      </c>
      <c r="BC67" s="55">
        <f t="shared" si="22"/>
        <v>0</v>
      </c>
      <c r="BD67" s="55">
        <f t="shared" si="22"/>
        <v>0</v>
      </c>
      <c r="BE67" s="55">
        <f t="shared" si="22"/>
        <v>0</v>
      </c>
      <c r="BF67" s="55">
        <f t="shared" si="22"/>
        <v>0</v>
      </c>
      <c r="BG67" s="55">
        <f t="shared" si="22"/>
        <v>0</v>
      </c>
      <c r="BH67" s="55">
        <f t="shared" si="22"/>
        <v>0</v>
      </c>
      <c r="BI67" s="55">
        <f t="shared" si="22"/>
        <v>0</v>
      </c>
      <c r="BJ67" s="55">
        <f t="shared" si="22"/>
        <v>0</v>
      </c>
    </row>
    <row r="68" spans="1:62" ht="15.75" customHeight="1" x14ac:dyDescent="0.25">
      <c r="A68" s="62"/>
      <c r="B68" s="19">
        <v>0.58333333333333337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</row>
    <row r="69" spans="1:62" ht="15.75" customHeight="1" x14ac:dyDescent="0.25">
      <c r="A69" s="23"/>
    </row>
    <row r="70" spans="1:62" ht="20.25" customHeight="1" x14ac:dyDescent="0.25">
      <c r="A70" s="61">
        <v>52</v>
      </c>
      <c r="B70" s="14" t="s">
        <v>72</v>
      </c>
      <c r="C70" s="15"/>
      <c r="D70" s="16">
        <v>2</v>
      </c>
      <c r="E70" s="16">
        <v>1</v>
      </c>
      <c r="F70" s="16">
        <v>2</v>
      </c>
      <c r="G70" s="17">
        <v>1</v>
      </c>
      <c r="H70" s="16">
        <v>2</v>
      </c>
      <c r="I70" s="16">
        <v>2</v>
      </c>
      <c r="J70" s="16">
        <v>2</v>
      </c>
      <c r="K70" s="16">
        <v>0</v>
      </c>
      <c r="L70" s="16">
        <v>2</v>
      </c>
      <c r="M70" s="16">
        <v>2</v>
      </c>
      <c r="N70" s="16">
        <v>2</v>
      </c>
      <c r="O70" s="16">
        <v>2</v>
      </c>
      <c r="P70" s="16">
        <v>1</v>
      </c>
      <c r="Q70" s="16">
        <v>0</v>
      </c>
      <c r="R70" s="17">
        <v>2</v>
      </c>
      <c r="S70" s="16">
        <v>1</v>
      </c>
      <c r="T70" s="16">
        <v>1</v>
      </c>
      <c r="U70" s="16">
        <v>2</v>
      </c>
      <c r="V70" s="16">
        <v>2</v>
      </c>
      <c r="W70" s="16">
        <v>3</v>
      </c>
      <c r="X70" s="16">
        <v>1</v>
      </c>
      <c r="Y70" s="16">
        <v>2</v>
      </c>
      <c r="Z70" s="16">
        <v>2</v>
      </c>
      <c r="AA70" s="17">
        <v>1</v>
      </c>
      <c r="AB70" s="16">
        <v>2</v>
      </c>
      <c r="AC70" s="16">
        <v>2</v>
      </c>
      <c r="AD70" s="17">
        <v>1</v>
      </c>
      <c r="AE70" s="17">
        <v>2</v>
      </c>
      <c r="AF70" s="17">
        <v>1</v>
      </c>
      <c r="AG70" s="16">
        <v>1</v>
      </c>
      <c r="AH70" s="16">
        <v>2</v>
      </c>
      <c r="AI70" s="17">
        <v>3</v>
      </c>
      <c r="AJ70" s="16">
        <v>0</v>
      </c>
      <c r="AK70" s="16">
        <v>2</v>
      </c>
      <c r="AL70" s="16">
        <v>0</v>
      </c>
      <c r="AM70" s="16">
        <v>0</v>
      </c>
      <c r="AN70" s="16">
        <v>2</v>
      </c>
      <c r="AO70" s="16">
        <v>3</v>
      </c>
      <c r="AP70" s="17">
        <v>2</v>
      </c>
      <c r="AQ70" s="16">
        <v>2</v>
      </c>
      <c r="AR70" s="17">
        <v>2</v>
      </c>
      <c r="AS70" s="17">
        <v>2</v>
      </c>
      <c r="AT70" s="16">
        <v>2</v>
      </c>
      <c r="AU70" s="17">
        <v>1</v>
      </c>
      <c r="AV70" s="16">
        <v>0</v>
      </c>
      <c r="AW70" s="16">
        <v>2</v>
      </c>
      <c r="AX70" s="16">
        <v>1</v>
      </c>
      <c r="AY70" s="16">
        <v>2</v>
      </c>
      <c r="AZ70" s="16">
        <v>1</v>
      </c>
      <c r="BA70" s="16">
        <v>2</v>
      </c>
      <c r="BB70" s="16">
        <v>0</v>
      </c>
      <c r="BC70" s="17">
        <v>1</v>
      </c>
      <c r="BD70" s="16">
        <v>1</v>
      </c>
      <c r="BE70" s="17">
        <v>0</v>
      </c>
      <c r="BF70" s="17">
        <v>2</v>
      </c>
      <c r="BG70" s="16">
        <v>1</v>
      </c>
      <c r="BH70" s="17">
        <v>1</v>
      </c>
      <c r="BI70" s="16">
        <v>0</v>
      </c>
      <c r="BJ70" s="16">
        <v>2</v>
      </c>
    </row>
    <row r="71" spans="1:62" ht="20.25" customHeight="1" x14ac:dyDescent="0.25">
      <c r="A71" s="62"/>
      <c r="B71" s="14" t="s">
        <v>73</v>
      </c>
      <c r="C71" s="15"/>
      <c r="D71" s="16">
        <v>1</v>
      </c>
      <c r="E71" s="16">
        <v>1</v>
      </c>
      <c r="F71" s="16">
        <v>1</v>
      </c>
      <c r="G71" s="17">
        <v>0</v>
      </c>
      <c r="H71" s="16">
        <v>1</v>
      </c>
      <c r="I71" s="16">
        <v>1</v>
      </c>
      <c r="J71" s="16">
        <v>1</v>
      </c>
      <c r="K71" s="16">
        <v>0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0</v>
      </c>
      <c r="R71" s="17">
        <v>0</v>
      </c>
      <c r="S71" s="16">
        <v>1</v>
      </c>
      <c r="T71" s="16">
        <v>1</v>
      </c>
      <c r="U71" s="16">
        <v>0</v>
      </c>
      <c r="V71" s="16">
        <v>0</v>
      </c>
      <c r="W71" s="16">
        <v>0</v>
      </c>
      <c r="X71" s="16">
        <v>1</v>
      </c>
      <c r="Y71" s="16">
        <v>1</v>
      </c>
      <c r="Z71" s="16">
        <v>0</v>
      </c>
      <c r="AA71" s="17">
        <v>0</v>
      </c>
      <c r="AB71" s="16">
        <v>1</v>
      </c>
      <c r="AC71" s="16">
        <v>1</v>
      </c>
      <c r="AD71" s="17">
        <v>1</v>
      </c>
      <c r="AE71" s="17">
        <v>1</v>
      </c>
      <c r="AF71" s="17">
        <v>1</v>
      </c>
      <c r="AG71" s="16">
        <v>1</v>
      </c>
      <c r="AH71" s="16">
        <v>1</v>
      </c>
      <c r="AI71" s="17">
        <v>2</v>
      </c>
      <c r="AJ71" s="16">
        <v>2</v>
      </c>
      <c r="AK71" s="16">
        <v>0</v>
      </c>
      <c r="AL71" s="16">
        <v>1</v>
      </c>
      <c r="AM71" s="16">
        <v>2</v>
      </c>
      <c r="AN71" s="16">
        <v>0</v>
      </c>
      <c r="AO71" s="16">
        <v>1</v>
      </c>
      <c r="AP71" s="17">
        <v>0</v>
      </c>
      <c r="AQ71" s="16">
        <v>1</v>
      </c>
      <c r="AR71" s="17">
        <v>1</v>
      </c>
      <c r="AS71" s="17">
        <v>1</v>
      </c>
      <c r="AT71" s="16">
        <v>1</v>
      </c>
      <c r="AU71" s="17">
        <v>0</v>
      </c>
      <c r="AV71" s="16">
        <v>1</v>
      </c>
      <c r="AW71" s="16">
        <v>1</v>
      </c>
      <c r="AX71" s="16">
        <v>1</v>
      </c>
      <c r="AY71" s="16">
        <v>1</v>
      </c>
      <c r="AZ71" s="16">
        <v>0</v>
      </c>
      <c r="BA71" s="16">
        <v>0</v>
      </c>
      <c r="BB71" s="16">
        <v>1</v>
      </c>
      <c r="BC71" s="17">
        <v>1</v>
      </c>
      <c r="BD71" s="16">
        <v>0</v>
      </c>
      <c r="BE71" s="17">
        <v>2</v>
      </c>
      <c r="BF71" s="17">
        <v>0</v>
      </c>
      <c r="BG71" s="16">
        <v>1</v>
      </c>
      <c r="BH71" s="17">
        <v>0</v>
      </c>
      <c r="BI71" s="16">
        <v>1</v>
      </c>
      <c r="BJ71" s="16">
        <v>1</v>
      </c>
    </row>
    <row r="72" spans="1:62" ht="15.75" customHeight="1" x14ac:dyDescent="0.25">
      <c r="A72" s="62"/>
      <c r="B72" s="18">
        <v>46197</v>
      </c>
      <c r="C72" s="60" t="s">
        <v>65</v>
      </c>
      <c r="D72" s="55">
        <f t="shared" ref="D72:BJ72" si="24">IF($C70="",0,IF(AND(D70=$C70,D71=$C71),5,IF(OR(AND(D70-D71&gt;0,$C70-$C71&gt;0),AND(D71-D70&gt;0,$C71-$C70&gt;0),AND(D70-D71=0,$C70-$C71=0)),2,0)+IF(OR(D70=$C70,D71=$C71),1,0)))</f>
        <v>0</v>
      </c>
      <c r="E72" s="55">
        <f t="shared" si="24"/>
        <v>0</v>
      </c>
      <c r="F72" s="55">
        <f t="shared" si="24"/>
        <v>0</v>
      </c>
      <c r="G72" s="55">
        <f t="shared" si="24"/>
        <v>0</v>
      </c>
      <c r="H72" s="55">
        <f t="shared" si="24"/>
        <v>0</v>
      </c>
      <c r="I72" s="55">
        <f t="shared" si="24"/>
        <v>0</v>
      </c>
      <c r="J72" s="55">
        <f t="shared" si="24"/>
        <v>0</v>
      </c>
      <c r="K72" s="55">
        <f t="shared" si="24"/>
        <v>0</v>
      </c>
      <c r="L72" s="55">
        <f t="shared" si="24"/>
        <v>0</v>
      </c>
      <c r="M72" s="55">
        <f t="shared" si="24"/>
        <v>0</v>
      </c>
      <c r="N72" s="55">
        <f t="shared" si="24"/>
        <v>0</v>
      </c>
      <c r="O72" s="55">
        <f t="shared" si="24"/>
        <v>0</v>
      </c>
      <c r="P72" s="55">
        <f t="shared" si="24"/>
        <v>0</v>
      </c>
      <c r="Q72" s="55">
        <f t="shared" si="24"/>
        <v>0</v>
      </c>
      <c r="R72" s="55">
        <f t="shared" si="24"/>
        <v>0</v>
      </c>
      <c r="S72" s="55">
        <f t="shared" si="24"/>
        <v>0</v>
      </c>
      <c r="T72" s="55">
        <f t="shared" si="24"/>
        <v>0</v>
      </c>
      <c r="U72" s="55">
        <f t="shared" si="24"/>
        <v>0</v>
      </c>
      <c r="V72" s="55">
        <f t="shared" si="24"/>
        <v>0</v>
      </c>
      <c r="W72" s="55">
        <f t="shared" si="24"/>
        <v>0</v>
      </c>
      <c r="X72" s="55">
        <f t="shared" si="24"/>
        <v>0</v>
      </c>
      <c r="Y72" s="55">
        <f t="shared" si="24"/>
        <v>0</v>
      </c>
      <c r="Z72" s="55">
        <f t="shared" si="24"/>
        <v>0</v>
      </c>
      <c r="AA72" s="55">
        <f t="shared" si="24"/>
        <v>0</v>
      </c>
      <c r="AB72" s="55">
        <f t="shared" si="24"/>
        <v>0</v>
      </c>
      <c r="AC72" s="55">
        <f t="shared" si="24"/>
        <v>0</v>
      </c>
      <c r="AD72" s="55">
        <f t="shared" si="24"/>
        <v>0</v>
      </c>
      <c r="AE72" s="55">
        <f t="shared" si="24"/>
        <v>0</v>
      </c>
      <c r="AF72" s="55">
        <f t="shared" si="24"/>
        <v>0</v>
      </c>
      <c r="AG72" s="55">
        <f t="shared" si="24"/>
        <v>0</v>
      </c>
      <c r="AH72" s="55">
        <f t="shared" si="24"/>
        <v>0</v>
      </c>
      <c r="AI72" s="55">
        <f t="shared" si="24"/>
        <v>0</v>
      </c>
      <c r="AJ72" s="55">
        <f t="shared" si="24"/>
        <v>0</v>
      </c>
      <c r="AK72" s="55">
        <f t="shared" si="24"/>
        <v>0</v>
      </c>
      <c r="AL72" s="55">
        <f t="shared" si="24"/>
        <v>0</v>
      </c>
      <c r="AM72" s="55">
        <f t="shared" si="24"/>
        <v>0</v>
      </c>
      <c r="AN72" s="55">
        <f t="shared" si="24"/>
        <v>0</v>
      </c>
      <c r="AO72" s="55">
        <f t="shared" si="24"/>
        <v>0</v>
      </c>
      <c r="AP72" s="55">
        <f t="shared" si="24"/>
        <v>0</v>
      </c>
      <c r="AQ72" s="55">
        <f t="shared" ref="AQ72" si="25">IF($C70="",0,IF(AND(AQ70=$C70,AQ71=$C71),5,IF(OR(AND(AQ70-AQ71&gt;0,$C70-$C71&gt;0),AND(AQ71-AQ70&gt;0,$C71-$C70&gt;0),AND(AQ70-AQ71=0,$C70-$C71=0)),2,0)+IF(OR(AQ70=$C70,AQ71=$C71),1,0)))</f>
        <v>0</v>
      </c>
      <c r="AR72" s="55">
        <f t="shared" si="24"/>
        <v>0</v>
      </c>
      <c r="AS72" s="55">
        <f t="shared" si="24"/>
        <v>0</v>
      </c>
      <c r="AT72" s="55">
        <f t="shared" si="24"/>
        <v>0</v>
      </c>
      <c r="AU72" s="55">
        <f t="shared" si="24"/>
        <v>0</v>
      </c>
      <c r="AV72" s="55">
        <f t="shared" si="24"/>
        <v>0</v>
      </c>
      <c r="AW72" s="55">
        <f t="shared" si="24"/>
        <v>0</v>
      </c>
      <c r="AX72" s="55">
        <f t="shared" si="24"/>
        <v>0</v>
      </c>
      <c r="AY72" s="55">
        <f t="shared" si="24"/>
        <v>0</v>
      </c>
      <c r="AZ72" s="55">
        <f t="shared" si="24"/>
        <v>0</v>
      </c>
      <c r="BA72" s="55">
        <f t="shared" si="24"/>
        <v>0</v>
      </c>
      <c r="BB72" s="55">
        <f t="shared" si="24"/>
        <v>0</v>
      </c>
      <c r="BC72" s="55">
        <f t="shared" si="24"/>
        <v>0</v>
      </c>
      <c r="BD72" s="55">
        <f t="shared" si="24"/>
        <v>0</v>
      </c>
      <c r="BE72" s="55">
        <f t="shared" si="24"/>
        <v>0</v>
      </c>
      <c r="BF72" s="55">
        <f t="shared" si="24"/>
        <v>0</v>
      </c>
      <c r="BG72" s="55">
        <f t="shared" si="24"/>
        <v>0</v>
      </c>
      <c r="BH72" s="55">
        <f t="shared" si="24"/>
        <v>0</v>
      </c>
      <c r="BI72" s="55">
        <f t="shared" si="24"/>
        <v>0</v>
      </c>
      <c r="BJ72" s="55">
        <f t="shared" si="24"/>
        <v>0</v>
      </c>
    </row>
    <row r="73" spans="1:62" ht="15.75" customHeight="1" x14ac:dyDescent="0.25">
      <c r="A73" s="62"/>
      <c r="B73" s="19">
        <v>0.58333333333333337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</row>
    <row r="74" spans="1:62" ht="15.75" customHeight="1" x14ac:dyDescent="0.25"/>
    <row r="75" spans="1:62" ht="15.75" customHeight="1" x14ac:dyDescent="0.25"/>
    <row r="76" spans="1:62" ht="15.75" customHeight="1" x14ac:dyDescent="0.25"/>
    <row r="77" spans="1:62" ht="36.75" customHeight="1" x14ac:dyDescent="0.25">
      <c r="A77" s="57" t="s">
        <v>75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9"/>
    </row>
    <row r="78" spans="1:62" ht="15.75" customHeight="1" x14ac:dyDescent="0.25">
      <c r="A78" s="2"/>
      <c r="B78" s="2"/>
      <c r="C78" s="2"/>
      <c r="D78" s="2"/>
      <c r="E78" s="2"/>
      <c r="F78" s="2"/>
      <c r="G78" s="2"/>
      <c r="H78" s="3"/>
      <c r="I78" s="3"/>
      <c r="J78" s="3"/>
    </row>
    <row r="79" spans="1:62" ht="15.75" customHeight="1" x14ac:dyDescent="0.25">
      <c r="A79" s="4"/>
      <c r="B79" s="5"/>
      <c r="C79" s="6"/>
      <c r="D79" s="7">
        <v>1</v>
      </c>
      <c r="E79" s="7">
        <v>2</v>
      </c>
      <c r="F79" s="7">
        <v>3</v>
      </c>
      <c r="G79" s="7">
        <v>4</v>
      </c>
      <c r="H79" s="7">
        <v>5</v>
      </c>
      <c r="I79" s="7">
        <v>6</v>
      </c>
      <c r="J79" s="7">
        <v>7</v>
      </c>
      <c r="K79" s="7">
        <v>8</v>
      </c>
      <c r="L79" s="7">
        <v>9</v>
      </c>
      <c r="M79" s="7">
        <v>10</v>
      </c>
      <c r="N79" s="7">
        <v>11</v>
      </c>
      <c r="O79" s="7">
        <v>13</v>
      </c>
      <c r="P79" s="7">
        <v>14</v>
      </c>
      <c r="Q79" s="7">
        <v>15</v>
      </c>
      <c r="R79" s="7">
        <v>16</v>
      </c>
      <c r="S79" s="7">
        <v>17</v>
      </c>
      <c r="T79" s="7">
        <v>18</v>
      </c>
      <c r="U79" s="7">
        <v>19</v>
      </c>
      <c r="V79" s="7">
        <v>20</v>
      </c>
      <c r="W79" s="7">
        <v>21</v>
      </c>
      <c r="X79" s="7">
        <v>22</v>
      </c>
      <c r="Y79" s="7">
        <v>24</v>
      </c>
      <c r="Z79" s="7">
        <v>25</v>
      </c>
      <c r="AA79" s="7">
        <v>26</v>
      </c>
      <c r="AB79" s="7">
        <v>27</v>
      </c>
      <c r="AC79" s="7">
        <v>29</v>
      </c>
      <c r="AD79" s="7">
        <v>30</v>
      </c>
      <c r="AE79" s="7">
        <v>32</v>
      </c>
      <c r="AF79" s="7">
        <v>33</v>
      </c>
      <c r="AG79" s="7">
        <v>34</v>
      </c>
      <c r="AH79" s="7">
        <v>35</v>
      </c>
      <c r="AI79" s="7">
        <v>36</v>
      </c>
      <c r="AJ79" s="7">
        <v>37</v>
      </c>
      <c r="AK79" s="7">
        <v>38</v>
      </c>
      <c r="AL79" s="7">
        <v>39</v>
      </c>
      <c r="AM79" s="7">
        <v>40</v>
      </c>
      <c r="AN79" s="7">
        <v>41</v>
      </c>
      <c r="AO79" s="7">
        <v>42</v>
      </c>
      <c r="AP79" s="7">
        <v>44</v>
      </c>
      <c r="AQ79" s="7">
        <v>67</v>
      </c>
      <c r="AR79" s="7">
        <v>48</v>
      </c>
      <c r="AS79" s="7">
        <v>49</v>
      </c>
      <c r="AT79" s="7">
        <v>51</v>
      </c>
      <c r="AU79" s="7">
        <v>52</v>
      </c>
      <c r="AV79" s="7">
        <v>53</v>
      </c>
      <c r="AW79" s="7">
        <v>54</v>
      </c>
      <c r="AX79" s="7">
        <v>55</v>
      </c>
      <c r="AY79" s="7">
        <v>56</v>
      </c>
      <c r="AZ79" s="7">
        <v>57</v>
      </c>
      <c r="BA79" s="7">
        <v>58</v>
      </c>
      <c r="BB79" s="7">
        <v>59</v>
      </c>
      <c r="BC79" s="7">
        <v>60</v>
      </c>
      <c r="BD79" s="7">
        <v>61</v>
      </c>
      <c r="BE79" s="7">
        <v>62</v>
      </c>
      <c r="BF79" s="7">
        <v>63</v>
      </c>
      <c r="BG79" s="7">
        <v>64</v>
      </c>
      <c r="BH79" s="7">
        <v>65</v>
      </c>
      <c r="BI79" s="7">
        <v>66</v>
      </c>
      <c r="BJ79" s="7">
        <v>67</v>
      </c>
    </row>
    <row r="80" spans="1:62" ht="187.5" customHeight="1" x14ac:dyDescent="0.25">
      <c r="A80" s="8"/>
      <c r="B80" s="9" t="s">
        <v>3</v>
      </c>
      <c r="C80" s="10" t="s">
        <v>4</v>
      </c>
      <c r="D80" s="11" t="str">
        <f t="shared" ref="D80:BJ80" si="26">D8</f>
        <v>Julian Uribe</v>
      </c>
      <c r="E80" s="11" t="str">
        <f t="shared" si="26"/>
        <v>Yulian Sanchez</v>
      </c>
      <c r="F80" s="11" t="str">
        <f t="shared" si="26"/>
        <v>Francisco Moreno</v>
      </c>
      <c r="G80" s="11" t="str">
        <f t="shared" si="26"/>
        <v>Mauricio Guerrero</v>
      </c>
      <c r="H80" s="11" t="str">
        <f t="shared" si="26"/>
        <v>Gustavo Guerrero</v>
      </c>
      <c r="I80" s="11" t="str">
        <f t="shared" si="26"/>
        <v>Gerardo Martinez</v>
      </c>
      <c r="J80" s="11" t="str">
        <f t="shared" si="26"/>
        <v>Nora Perez</v>
      </c>
      <c r="K80" s="11" t="str">
        <f t="shared" si="26"/>
        <v>Laura Rodriguez</v>
      </c>
      <c r="L80" s="11" t="str">
        <f t="shared" si="26"/>
        <v>Jhoana Moreno</v>
      </c>
      <c r="M80" s="11" t="str">
        <f t="shared" si="26"/>
        <v xml:space="preserve">Yoselin Salinas </v>
      </c>
      <c r="N80" s="11" t="str">
        <f t="shared" si="26"/>
        <v>Luis Diaz</v>
      </c>
      <c r="O80" s="11" t="str">
        <f t="shared" si="26"/>
        <v>Diela del Carmen</v>
      </c>
      <c r="P80" s="11" t="str">
        <f t="shared" si="26"/>
        <v>Paola Agredo</v>
      </c>
      <c r="Q80" s="11" t="str">
        <f t="shared" si="26"/>
        <v>Oscar Suarez</v>
      </c>
      <c r="R80" s="11" t="str">
        <f t="shared" si="26"/>
        <v>Paulo Figueroa</v>
      </c>
      <c r="S80" s="11" t="str">
        <f t="shared" si="26"/>
        <v xml:space="preserve">Jean Piere </v>
      </c>
      <c r="T80" s="11" t="str">
        <f t="shared" si="26"/>
        <v>David Diaz</v>
      </c>
      <c r="U80" s="11" t="str">
        <f t="shared" si="26"/>
        <v xml:space="preserve">Christian Giraldo </v>
      </c>
      <c r="V80" s="11" t="str">
        <f t="shared" si="26"/>
        <v>Viviana Hurtado</v>
      </c>
      <c r="W80" s="11" t="str">
        <f t="shared" si="26"/>
        <v>James Chavez Ocampo</v>
      </c>
      <c r="X80" s="11" t="str">
        <f t="shared" si="26"/>
        <v>Luis Felipe Sanchez</v>
      </c>
      <c r="Y80" s="11" t="str">
        <f t="shared" si="26"/>
        <v>Laura Ossa</v>
      </c>
      <c r="Z80" s="11" t="str">
        <f t="shared" si="26"/>
        <v>Elizabeth Montealegre</v>
      </c>
      <c r="AA80" s="11" t="str">
        <f t="shared" si="26"/>
        <v>Liliana Montealegre</v>
      </c>
      <c r="AB80" s="11" t="str">
        <f t="shared" si="26"/>
        <v>Javier Andres Gomez</v>
      </c>
      <c r="AC80" s="11" t="str">
        <f t="shared" si="26"/>
        <v>Diana Carolina Marin</v>
      </c>
      <c r="AD80" s="11" t="str">
        <f t="shared" si="26"/>
        <v>Diego Fernando Saavedra</v>
      </c>
      <c r="AE80" s="11" t="str">
        <f t="shared" si="26"/>
        <v>Oscar Mayor</v>
      </c>
      <c r="AF80" s="11" t="str">
        <f t="shared" si="26"/>
        <v>Ingrid Toro</v>
      </c>
      <c r="AG80" s="11" t="str">
        <f t="shared" si="26"/>
        <v>Ana Marcela Castro</v>
      </c>
      <c r="AH80" s="11" t="str">
        <f t="shared" si="26"/>
        <v>Ricardo Gutierrez</v>
      </c>
      <c r="AI80" s="11" t="str">
        <f t="shared" si="26"/>
        <v>Natalia Navarro</v>
      </c>
      <c r="AJ80" s="11" t="str">
        <f t="shared" si="26"/>
        <v>Diana Perez</v>
      </c>
      <c r="AK80" s="11" t="str">
        <f t="shared" si="26"/>
        <v>Sergio Diaz</v>
      </c>
      <c r="AL80" s="11" t="str">
        <f t="shared" si="26"/>
        <v>William Oviedo</v>
      </c>
      <c r="AM80" s="11" t="str">
        <f t="shared" si="26"/>
        <v>Armando Orjuela</v>
      </c>
      <c r="AN80" s="11" t="str">
        <f t="shared" si="26"/>
        <v xml:space="preserve">Helen Muñoz </v>
      </c>
      <c r="AO80" s="11" t="str">
        <f t="shared" si="26"/>
        <v>Julieth Cruz - Luiz Diaz</v>
      </c>
      <c r="AP80" s="11" t="str">
        <f t="shared" si="26"/>
        <v>Jose Luis Montoya</v>
      </c>
      <c r="AQ80" s="11" t="str">
        <f t="shared" ref="AQ80" si="27">AQ8</f>
        <v>Julian Useche</v>
      </c>
      <c r="AR80" s="11" t="str">
        <f t="shared" si="26"/>
        <v>Sebastian Posada</v>
      </c>
      <c r="AS80" s="11" t="str">
        <f t="shared" si="26"/>
        <v>Juan Cifuentes</v>
      </c>
      <c r="AT80" s="11" t="str">
        <f t="shared" si="26"/>
        <v>Rodrigo Dominguez</v>
      </c>
      <c r="AU80" s="11" t="str">
        <f t="shared" si="26"/>
        <v xml:space="preserve">Carlos Calero </v>
      </c>
      <c r="AV80" s="11" t="str">
        <f t="shared" si="26"/>
        <v>Lewhis Spirth Montaño</v>
      </c>
      <c r="AW80" s="11" t="str">
        <f t="shared" si="26"/>
        <v>Sebastian Castro Luna</v>
      </c>
      <c r="AX80" s="11" t="str">
        <f t="shared" si="26"/>
        <v>Francia Orozco</v>
      </c>
      <c r="AY80" s="11" t="str">
        <f t="shared" si="26"/>
        <v>Fredy Rojas</v>
      </c>
      <c r="AZ80" s="11" t="str">
        <f t="shared" si="26"/>
        <v>John Quiñonez</v>
      </c>
      <c r="BA80" s="11" t="str">
        <f t="shared" si="26"/>
        <v>Yuli Guzman</v>
      </c>
      <c r="BB80" s="11" t="str">
        <f t="shared" si="26"/>
        <v>Luis Alfredo Plaza</v>
      </c>
      <c r="BC80" s="11" t="str">
        <f t="shared" si="26"/>
        <v>Naty Bermudez</v>
      </c>
      <c r="BD80" s="11" t="str">
        <f t="shared" si="26"/>
        <v>Edgar Ivan Giraldo Duran</v>
      </c>
      <c r="BE80" s="11" t="str">
        <f t="shared" si="26"/>
        <v>Caterine Filigrana</v>
      </c>
      <c r="BF80" s="11" t="str">
        <f t="shared" si="26"/>
        <v>Adriana Belalcazar</v>
      </c>
      <c r="BG80" s="11" t="str">
        <f t="shared" si="26"/>
        <v>Angelisa Hurtado</v>
      </c>
      <c r="BH80" s="11" t="str">
        <f t="shared" si="26"/>
        <v>Isabela Muñoz</v>
      </c>
      <c r="BI80" s="11" t="str">
        <f t="shared" si="26"/>
        <v>Francisco Moreno Alvarez</v>
      </c>
      <c r="BJ80" s="11" t="str">
        <f t="shared" si="26"/>
        <v>Angelica Maria Panesso</v>
      </c>
    </row>
    <row r="81" spans="1:62" ht="20.25" customHeight="1" x14ac:dyDescent="0.25">
      <c r="A81" s="61">
        <v>7</v>
      </c>
      <c r="B81" s="14" t="s">
        <v>76</v>
      </c>
      <c r="C81" s="15"/>
      <c r="D81" s="16">
        <v>3</v>
      </c>
      <c r="E81" s="16">
        <v>2</v>
      </c>
      <c r="F81" s="16">
        <v>3</v>
      </c>
      <c r="G81" s="17">
        <v>2</v>
      </c>
      <c r="H81" s="16">
        <v>2</v>
      </c>
      <c r="I81" s="16">
        <v>3</v>
      </c>
      <c r="J81" s="16">
        <v>3</v>
      </c>
      <c r="K81" s="16">
        <v>2</v>
      </c>
      <c r="L81" s="16">
        <v>2</v>
      </c>
      <c r="M81" s="16">
        <v>2</v>
      </c>
      <c r="N81" s="16">
        <v>2</v>
      </c>
      <c r="O81" s="16">
        <v>3</v>
      </c>
      <c r="P81" s="16">
        <v>3</v>
      </c>
      <c r="Q81" s="16">
        <v>2</v>
      </c>
      <c r="R81" s="17">
        <v>4</v>
      </c>
      <c r="S81" s="16">
        <v>2</v>
      </c>
      <c r="T81" s="16">
        <v>2</v>
      </c>
      <c r="U81" s="16">
        <v>3</v>
      </c>
      <c r="V81" s="16">
        <v>3</v>
      </c>
      <c r="W81" s="16">
        <v>2</v>
      </c>
      <c r="X81" s="16">
        <v>1</v>
      </c>
      <c r="Y81" s="16">
        <v>2</v>
      </c>
      <c r="Z81" s="16">
        <v>3</v>
      </c>
      <c r="AA81" s="17">
        <v>2</v>
      </c>
      <c r="AB81" s="16">
        <v>4</v>
      </c>
      <c r="AC81" s="16">
        <v>2</v>
      </c>
      <c r="AD81" s="17">
        <v>7</v>
      </c>
      <c r="AE81" s="17">
        <v>3</v>
      </c>
      <c r="AF81" s="17">
        <v>3</v>
      </c>
      <c r="AG81" s="16">
        <v>2</v>
      </c>
      <c r="AH81" s="16">
        <v>2</v>
      </c>
      <c r="AI81" s="17">
        <v>5</v>
      </c>
      <c r="AJ81" s="16">
        <v>3</v>
      </c>
      <c r="AK81" s="16">
        <v>2</v>
      </c>
      <c r="AL81" s="16">
        <v>3</v>
      </c>
      <c r="AM81" s="16">
        <v>3</v>
      </c>
      <c r="AN81" s="16">
        <v>4</v>
      </c>
      <c r="AO81" s="16">
        <v>2</v>
      </c>
      <c r="AP81" s="17">
        <v>2</v>
      </c>
      <c r="AQ81" s="16">
        <v>2</v>
      </c>
      <c r="AR81" s="17">
        <v>3</v>
      </c>
      <c r="AS81" s="17">
        <v>2</v>
      </c>
      <c r="AT81" s="16">
        <v>1</v>
      </c>
      <c r="AU81" s="17">
        <v>2</v>
      </c>
      <c r="AV81" s="16">
        <v>3</v>
      </c>
      <c r="AW81" s="16">
        <v>2</v>
      </c>
      <c r="AX81" s="16">
        <v>3</v>
      </c>
      <c r="AY81" s="16">
        <v>3</v>
      </c>
      <c r="AZ81" s="16">
        <v>2</v>
      </c>
      <c r="BA81" s="16">
        <v>1</v>
      </c>
      <c r="BB81" s="16">
        <v>1</v>
      </c>
      <c r="BC81" s="17">
        <v>2</v>
      </c>
      <c r="BD81" s="16">
        <v>3</v>
      </c>
      <c r="BE81" s="17">
        <v>2</v>
      </c>
      <c r="BF81" s="17">
        <v>2</v>
      </c>
      <c r="BG81" s="16">
        <v>3</v>
      </c>
      <c r="BH81" s="17">
        <v>2</v>
      </c>
      <c r="BI81" s="16">
        <v>3</v>
      </c>
      <c r="BJ81" s="16">
        <v>2</v>
      </c>
    </row>
    <row r="82" spans="1:62" ht="20.25" customHeight="1" x14ac:dyDescent="0.25">
      <c r="A82" s="62"/>
      <c r="B82" s="14" t="s">
        <v>77</v>
      </c>
      <c r="C82" s="15"/>
      <c r="D82" s="16">
        <v>1</v>
      </c>
      <c r="E82" s="16">
        <v>2</v>
      </c>
      <c r="F82" s="16">
        <v>1</v>
      </c>
      <c r="G82" s="17">
        <v>1</v>
      </c>
      <c r="H82" s="16">
        <v>1</v>
      </c>
      <c r="I82" s="16">
        <v>1</v>
      </c>
      <c r="J82" s="16">
        <v>0</v>
      </c>
      <c r="K82" s="16">
        <v>1</v>
      </c>
      <c r="L82" s="16">
        <v>1</v>
      </c>
      <c r="M82" s="16">
        <v>2</v>
      </c>
      <c r="N82" s="16">
        <v>1</v>
      </c>
      <c r="O82" s="16">
        <v>0</v>
      </c>
      <c r="P82" s="16">
        <v>1</v>
      </c>
      <c r="Q82" s="16">
        <v>2</v>
      </c>
      <c r="R82" s="17">
        <v>0</v>
      </c>
      <c r="S82" s="16">
        <v>1</v>
      </c>
      <c r="T82" s="16">
        <v>0</v>
      </c>
      <c r="U82" s="16">
        <v>0</v>
      </c>
      <c r="V82" s="16">
        <v>0</v>
      </c>
      <c r="W82" s="16">
        <v>1</v>
      </c>
      <c r="X82" s="16">
        <v>2</v>
      </c>
      <c r="Y82" s="16">
        <v>1</v>
      </c>
      <c r="Z82" s="16">
        <v>0</v>
      </c>
      <c r="AA82" s="17">
        <v>2</v>
      </c>
      <c r="AB82" s="16">
        <v>0</v>
      </c>
      <c r="AC82" s="16">
        <v>1</v>
      </c>
      <c r="AD82" s="17">
        <v>0</v>
      </c>
      <c r="AE82" s="17">
        <v>1</v>
      </c>
      <c r="AF82" s="17">
        <v>1</v>
      </c>
      <c r="AG82" s="16">
        <v>1</v>
      </c>
      <c r="AH82" s="16">
        <v>1</v>
      </c>
      <c r="AI82" s="17">
        <v>3</v>
      </c>
      <c r="AJ82" s="16">
        <v>0</v>
      </c>
      <c r="AK82" s="16">
        <v>1</v>
      </c>
      <c r="AL82" s="16">
        <v>2</v>
      </c>
      <c r="AM82" s="16">
        <v>0</v>
      </c>
      <c r="AN82" s="16">
        <v>0</v>
      </c>
      <c r="AO82" s="16">
        <v>0</v>
      </c>
      <c r="AP82" s="17">
        <v>1</v>
      </c>
      <c r="AQ82" s="16">
        <v>0</v>
      </c>
      <c r="AR82" s="17">
        <v>1</v>
      </c>
      <c r="AS82" s="17">
        <v>1</v>
      </c>
      <c r="AT82" s="16">
        <v>1</v>
      </c>
      <c r="AU82" s="17">
        <v>0</v>
      </c>
      <c r="AV82" s="16">
        <v>1</v>
      </c>
      <c r="AW82" s="16">
        <v>1</v>
      </c>
      <c r="AX82" s="16">
        <v>0</v>
      </c>
      <c r="AY82" s="16">
        <v>1</v>
      </c>
      <c r="AZ82" s="16">
        <v>2</v>
      </c>
      <c r="BA82" s="16">
        <v>0</v>
      </c>
      <c r="BB82" s="16">
        <v>1</v>
      </c>
      <c r="BC82" s="17">
        <v>0</v>
      </c>
      <c r="BD82" s="16">
        <v>2</v>
      </c>
      <c r="BE82" s="17">
        <v>1</v>
      </c>
      <c r="BF82" s="17">
        <v>2</v>
      </c>
      <c r="BG82" s="16">
        <v>0</v>
      </c>
      <c r="BH82" s="17">
        <v>2</v>
      </c>
      <c r="BI82" s="16">
        <v>1</v>
      </c>
      <c r="BJ82" s="16">
        <v>1</v>
      </c>
    </row>
    <row r="83" spans="1:62" ht="15.75" customHeight="1" x14ac:dyDescent="0.25">
      <c r="A83" s="62"/>
      <c r="B83" s="18">
        <v>46186</v>
      </c>
      <c r="C83" s="60" t="s">
        <v>65</v>
      </c>
      <c r="D83" s="55">
        <f t="shared" ref="D83:BJ83" si="28">IF($C81="",0,IF(AND(D81=$C81,D82=$C82),5,IF(OR(AND(D81-D82&gt;0,$C81-$C82&gt;0),AND(D82-D81&gt;0,$C82-$C81&gt;0),AND(D81-D82=0,$C81-$C82=0)),2,0)+IF(OR(D81=$C81,D82=$C82),1,0)))</f>
        <v>0</v>
      </c>
      <c r="E83" s="55">
        <f t="shared" si="28"/>
        <v>0</v>
      </c>
      <c r="F83" s="55">
        <f t="shared" si="28"/>
        <v>0</v>
      </c>
      <c r="G83" s="55">
        <f t="shared" si="28"/>
        <v>0</v>
      </c>
      <c r="H83" s="55">
        <f t="shared" si="28"/>
        <v>0</v>
      </c>
      <c r="I83" s="55">
        <f t="shared" si="28"/>
        <v>0</v>
      </c>
      <c r="J83" s="55">
        <f t="shared" si="28"/>
        <v>0</v>
      </c>
      <c r="K83" s="55">
        <f t="shared" si="28"/>
        <v>0</v>
      </c>
      <c r="L83" s="55">
        <f t="shared" si="28"/>
        <v>0</v>
      </c>
      <c r="M83" s="55">
        <f t="shared" si="28"/>
        <v>0</v>
      </c>
      <c r="N83" s="55">
        <f t="shared" si="28"/>
        <v>0</v>
      </c>
      <c r="O83" s="55">
        <f t="shared" si="28"/>
        <v>0</v>
      </c>
      <c r="P83" s="55">
        <f t="shared" si="28"/>
        <v>0</v>
      </c>
      <c r="Q83" s="55">
        <f t="shared" si="28"/>
        <v>0</v>
      </c>
      <c r="R83" s="55">
        <f t="shared" si="28"/>
        <v>0</v>
      </c>
      <c r="S83" s="55">
        <f t="shared" si="28"/>
        <v>0</v>
      </c>
      <c r="T83" s="55">
        <f t="shared" si="28"/>
        <v>0</v>
      </c>
      <c r="U83" s="55">
        <f t="shared" si="28"/>
        <v>0</v>
      </c>
      <c r="V83" s="55">
        <f t="shared" si="28"/>
        <v>0</v>
      </c>
      <c r="W83" s="55">
        <f t="shared" si="28"/>
        <v>0</v>
      </c>
      <c r="X83" s="55">
        <f t="shared" si="28"/>
        <v>0</v>
      </c>
      <c r="Y83" s="55">
        <f t="shared" si="28"/>
        <v>0</v>
      </c>
      <c r="Z83" s="55">
        <f t="shared" si="28"/>
        <v>0</v>
      </c>
      <c r="AA83" s="55">
        <f t="shared" si="28"/>
        <v>0</v>
      </c>
      <c r="AB83" s="55">
        <f t="shared" si="28"/>
        <v>0</v>
      </c>
      <c r="AC83" s="55">
        <f t="shared" si="28"/>
        <v>0</v>
      </c>
      <c r="AD83" s="55">
        <f t="shared" si="28"/>
        <v>0</v>
      </c>
      <c r="AE83" s="55">
        <f t="shared" si="28"/>
        <v>0</v>
      </c>
      <c r="AF83" s="55">
        <f t="shared" si="28"/>
        <v>0</v>
      </c>
      <c r="AG83" s="55">
        <f t="shared" si="28"/>
        <v>0</v>
      </c>
      <c r="AH83" s="55">
        <f t="shared" si="28"/>
        <v>0</v>
      </c>
      <c r="AI83" s="55">
        <f t="shared" si="28"/>
        <v>0</v>
      </c>
      <c r="AJ83" s="55">
        <f t="shared" si="28"/>
        <v>0</v>
      </c>
      <c r="AK83" s="55">
        <f t="shared" si="28"/>
        <v>0</v>
      </c>
      <c r="AL83" s="55">
        <f t="shared" si="28"/>
        <v>0</v>
      </c>
      <c r="AM83" s="55">
        <f t="shared" si="28"/>
        <v>0</v>
      </c>
      <c r="AN83" s="55">
        <f t="shared" si="28"/>
        <v>0</v>
      </c>
      <c r="AO83" s="55">
        <f t="shared" si="28"/>
        <v>0</v>
      </c>
      <c r="AP83" s="55">
        <f t="shared" si="28"/>
        <v>0</v>
      </c>
      <c r="AQ83" s="55">
        <f t="shared" ref="AQ83" si="29">IF($C81="",0,IF(AND(AQ81=$C81,AQ82=$C82),5,IF(OR(AND(AQ81-AQ82&gt;0,$C81-$C82&gt;0),AND(AQ82-AQ81&gt;0,$C82-$C81&gt;0),AND(AQ81-AQ82=0,$C81-$C82=0)),2,0)+IF(OR(AQ81=$C81,AQ82=$C82),1,0)))</f>
        <v>0</v>
      </c>
      <c r="AR83" s="55">
        <f t="shared" si="28"/>
        <v>0</v>
      </c>
      <c r="AS83" s="55">
        <f t="shared" si="28"/>
        <v>0</v>
      </c>
      <c r="AT83" s="55">
        <f t="shared" si="28"/>
        <v>0</v>
      </c>
      <c r="AU83" s="55">
        <f t="shared" si="28"/>
        <v>0</v>
      </c>
      <c r="AV83" s="55">
        <f t="shared" si="28"/>
        <v>0</v>
      </c>
      <c r="AW83" s="55">
        <f t="shared" si="28"/>
        <v>0</v>
      </c>
      <c r="AX83" s="55">
        <f t="shared" si="28"/>
        <v>0</v>
      </c>
      <c r="AY83" s="55">
        <f t="shared" si="28"/>
        <v>0</v>
      </c>
      <c r="AZ83" s="55">
        <f t="shared" si="28"/>
        <v>0</v>
      </c>
      <c r="BA83" s="55">
        <f t="shared" si="28"/>
        <v>0</v>
      </c>
      <c r="BB83" s="55">
        <f t="shared" si="28"/>
        <v>0</v>
      </c>
      <c r="BC83" s="55">
        <f t="shared" si="28"/>
        <v>0</v>
      </c>
      <c r="BD83" s="55">
        <f t="shared" si="28"/>
        <v>0</v>
      </c>
      <c r="BE83" s="55">
        <f t="shared" si="28"/>
        <v>0</v>
      </c>
      <c r="BF83" s="55">
        <f t="shared" si="28"/>
        <v>0</v>
      </c>
      <c r="BG83" s="55">
        <f t="shared" si="28"/>
        <v>0</v>
      </c>
      <c r="BH83" s="55">
        <f t="shared" si="28"/>
        <v>0</v>
      </c>
      <c r="BI83" s="55">
        <f t="shared" si="28"/>
        <v>0</v>
      </c>
      <c r="BJ83" s="55">
        <f t="shared" si="28"/>
        <v>0</v>
      </c>
    </row>
    <row r="84" spans="1:62" ht="15.75" customHeight="1" x14ac:dyDescent="0.25">
      <c r="A84" s="62"/>
      <c r="B84" s="19">
        <v>0.70833333333333337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</row>
    <row r="85" spans="1:62" ht="15.75" customHeight="1" x14ac:dyDescent="0.25">
      <c r="A85" s="13"/>
      <c r="B85" s="13"/>
      <c r="C85" s="13"/>
      <c r="D85" s="2"/>
      <c r="E85" s="2"/>
      <c r="F85" s="2"/>
      <c r="G85" s="2"/>
      <c r="H85" s="3"/>
      <c r="I85" s="3"/>
      <c r="J85" s="3"/>
    </row>
    <row r="86" spans="1:62" ht="18.75" customHeight="1" x14ac:dyDescent="0.25">
      <c r="A86" s="61">
        <v>5</v>
      </c>
      <c r="B86" s="14" t="s">
        <v>78</v>
      </c>
      <c r="C86" s="15"/>
      <c r="D86" s="16">
        <v>0</v>
      </c>
      <c r="E86" s="16">
        <v>1</v>
      </c>
      <c r="F86" s="16">
        <v>0</v>
      </c>
      <c r="G86" s="17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</v>
      </c>
      <c r="R86" s="17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1</v>
      </c>
      <c r="Y86" s="16">
        <v>0</v>
      </c>
      <c r="Z86" s="16">
        <v>0</v>
      </c>
      <c r="AA86" s="17">
        <v>1</v>
      </c>
      <c r="AB86" s="16">
        <v>0</v>
      </c>
      <c r="AC86" s="16">
        <v>0</v>
      </c>
      <c r="AD86" s="17">
        <v>1</v>
      </c>
      <c r="AE86" s="17">
        <v>0</v>
      </c>
      <c r="AF86" s="17">
        <v>0</v>
      </c>
      <c r="AG86" s="16">
        <v>0</v>
      </c>
      <c r="AH86" s="16">
        <v>0</v>
      </c>
      <c r="AI86" s="17">
        <v>4</v>
      </c>
      <c r="AJ86" s="16">
        <v>0</v>
      </c>
      <c r="AK86" s="16">
        <v>0</v>
      </c>
      <c r="AL86" s="16">
        <v>0</v>
      </c>
      <c r="AM86" s="16">
        <v>1</v>
      </c>
      <c r="AN86" s="16">
        <v>0</v>
      </c>
      <c r="AO86" s="16">
        <v>0</v>
      </c>
      <c r="AP86" s="17">
        <v>0</v>
      </c>
      <c r="AQ86" s="16">
        <v>0</v>
      </c>
      <c r="AR86" s="17">
        <v>0</v>
      </c>
      <c r="AS86" s="17">
        <v>0</v>
      </c>
      <c r="AT86" s="16">
        <v>0</v>
      </c>
      <c r="AU86" s="17">
        <v>0</v>
      </c>
      <c r="AV86" s="16">
        <v>1</v>
      </c>
      <c r="AW86" s="16">
        <v>1</v>
      </c>
      <c r="AX86" s="16">
        <v>1</v>
      </c>
      <c r="AY86" s="16">
        <v>0</v>
      </c>
      <c r="AZ86" s="16">
        <v>0</v>
      </c>
      <c r="BA86" s="16">
        <v>0</v>
      </c>
      <c r="BB86" s="16">
        <v>0</v>
      </c>
      <c r="BC86" s="17">
        <v>1</v>
      </c>
      <c r="BD86" s="16">
        <v>0</v>
      </c>
      <c r="BE86" s="17">
        <v>0</v>
      </c>
      <c r="BF86" s="17">
        <v>0</v>
      </c>
      <c r="BG86" s="16">
        <v>2</v>
      </c>
      <c r="BH86" s="17">
        <v>0</v>
      </c>
      <c r="BI86" s="16">
        <v>0</v>
      </c>
      <c r="BJ86" s="16">
        <v>0</v>
      </c>
    </row>
    <row r="87" spans="1:62" ht="21" customHeight="1" x14ac:dyDescent="0.25">
      <c r="A87" s="62"/>
      <c r="B87" s="14" t="s">
        <v>79</v>
      </c>
      <c r="C87" s="15"/>
      <c r="D87" s="16">
        <v>2</v>
      </c>
      <c r="E87" s="16">
        <v>2</v>
      </c>
      <c r="F87" s="16">
        <v>3</v>
      </c>
      <c r="G87" s="17">
        <v>2</v>
      </c>
      <c r="H87" s="16">
        <v>2</v>
      </c>
      <c r="I87" s="16">
        <v>4</v>
      </c>
      <c r="J87" s="16">
        <v>1</v>
      </c>
      <c r="K87" s="16">
        <v>4</v>
      </c>
      <c r="L87" s="16">
        <v>2</v>
      </c>
      <c r="M87" s="16">
        <v>2</v>
      </c>
      <c r="N87" s="16">
        <v>2</v>
      </c>
      <c r="O87" s="16">
        <v>2</v>
      </c>
      <c r="P87" s="16">
        <v>1</v>
      </c>
      <c r="Q87" s="16">
        <v>0</v>
      </c>
      <c r="R87" s="17">
        <v>1</v>
      </c>
      <c r="S87" s="16">
        <v>2</v>
      </c>
      <c r="T87" s="16">
        <v>2</v>
      </c>
      <c r="U87" s="16">
        <v>3</v>
      </c>
      <c r="V87" s="16">
        <v>2</v>
      </c>
      <c r="W87" s="16">
        <v>3</v>
      </c>
      <c r="X87" s="16">
        <v>1</v>
      </c>
      <c r="Y87" s="16">
        <v>2</v>
      </c>
      <c r="Z87" s="16">
        <v>2</v>
      </c>
      <c r="AA87" s="17">
        <v>3</v>
      </c>
      <c r="AB87" s="16">
        <v>3</v>
      </c>
      <c r="AC87" s="16">
        <v>2</v>
      </c>
      <c r="AD87" s="17">
        <v>3</v>
      </c>
      <c r="AE87" s="17">
        <v>3</v>
      </c>
      <c r="AF87" s="17">
        <v>2</v>
      </c>
      <c r="AG87" s="16">
        <v>2</v>
      </c>
      <c r="AH87" s="16">
        <v>2</v>
      </c>
      <c r="AI87" s="17">
        <v>1</v>
      </c>
      <c r="AJ87" s="16">
        <v>6</v>
      </c>
      <c r="AK87" s="16">
        <v>2</v>
      </c>
      <c r="AL87" s="16">
        <v>2</v>
      </c>
      <c r="AM87" s="16">
        <v>2</v>
      </c>
      <c r="AN87" s="16">
        <v>2</v>
      </c>
      <c r="AO87" s="16">
        <v>3</v>
      </c>
      <c r="AP87" s="17">
        <v>2</v>
      </c>
      <c r="AQ87" s="16">
        <v>2</v>
      </c>
      <c r="AR87" s="17">
        <v>2</v>
      </c>
      <c r="AS87" s="17">
        <v>2</v>
      </c>
      <c r="AT87" s="16">
        <v>2</v>
      </c>
      <c r="AU87" s="17">
        <v>2</v>
      </c>
      <c r="AV87" s="16">
        <v>3</v>
      </c>
      <c r="AW87" s="16">
        <v>2</v>
      </c>
      <c r="AX87" s="16">
        <v>2</v>
      </c>
      <c r="AY87" s="16">
        <v>2</v>
      </c>
      <c r="AZ87" s="16">
        <v>2</v>
      </c>
      <c r="BA87" s="16">
        <v>2</v>
      </c>
      <c r="BB87" s="16">
        <v>2</v>
      </c>
      <c r="BC87" s="17">
        <v>2</v>
      </c>
      <c r="BD87" s="16">
        <v>2</v>
      </c>
      <c r="BE87" s="17">
        <v>1</v>
      </c>
      <c r="BF87" s="17">
        <v>2</v>
      </c>
      <c r="BG87" s="16">
        <v>1</v>
      </c>
      <c r="BH87" s="17">
        <v>2</v>
      </c>
      <c r="BI87" s="16">
        <v>4</v>
      </c>
      <c r="BJ87" s="16">
        <v>1</v>
      </c>
    </row>
    <row r="88" spans="1:62" ht="15.75" customHeight="1" x14ac:dyDescent="0.25">
      <c r="A88" s="62"/>
      <c r="B88" s="18">
        <v>46186</v>
      </c>
      <c r="C88" s="60" t="s">
        <v>65</v>
      </c>
      <c r="D88" s="55">
        <f t="shared" ref="D88:BJ88" si="30">IF($C86="",0,IF(AND(D86=$C86,D87=$C87),5,IF(OR(AND(D86-D87&gt;0,$C86-$C87&gt;0),AND(D87-D86&gt;0,$C87-$C86&gt;0),AND(D86-D87=0,$C86-$C87=0)),2,0)+IF(OR(D86=$C86,D87=$C87),1,0)))</f>
        <v>0</v>
      </c>
      <c r="E88" s="55">
        <f t="shared" si="30"/>
        <v>0</v>
      </c>
      <c r="F88" s="55">
        <f t="shared" si="30"/>
        <v>0</v>
      </c>
      <c r="G88" s="55">
        <f t="shared" si="30"/>
        <v>0</v>
      </c>
      <c r="H88" s="55">
        <f t="shared" si="30"/>
        <v>0</v>
      </c>
      <c r="I88" s="55">
        <f t="shared" si="30"/>
        <v>0</v>
      </c>
      <c r="J88" s="55">
        <f t="shared" si="30"/>
        <v>0</v>
      </c>
      <c r="K88" s="55">
        <f t="shared" si="30"/>
        <v>0</v>
      </c>
      <c r="L88" s="55">
        <f t="shared" si="30"/>
        <v>0</v>
      </c>
      <c r="M88" s="55">
        <f t="shared" si="30"/>
        <v>0</v>
      </c>
      <c r="N88" s="55">
        <f t="shared" si="30"/>
        <v>0</v>
      </c>
      <c r="O88" s="55">
        <f t="shared" si="30"/>
        <v>0</v>
      </c>
      <c r="P88" s="55">
        <f t="shared" si="30"/>
        <v>0</v>
      </c>
      <c r="Q88" s="55">
        <f t="shared" si="30"/>
        <v>0</v>
      </c>
      <c r="R88" s="55">
        <f t="shared" si="30"/>
        <v>0</v>
      </c>
      <c r="S88" s="55">
        <f t="shared" si="30"/>
        <v>0</v>
      </c>
      <c r="T88" s="55">
        <f t="shared" si="30"/>
        <v>0</v>
      </c>
      <c r="U88" s="55">
        <f t="shared" si="30"/>
        <v>0</v>
      </c>
      <c r="V88" s="55">
        <f t="shared" si="30"/>
        <v>0</v>
      </c>
      <c r="W88" s="55">
        <f t="shared" si="30"/>
        <v>0</v>
      </c>
      <c r="X88" s="55">
        <f t="shared" si="30"/>
        <v>0</v>
      </c>
      <c r="Y88" s="55">
        <f t="shared" si="30"/>
        <v>0</v>
      </c>
      <c r="Z88" s="55">
        <f t="shared" si="30"/>
        <v>0</v>
      </c>
      <c r="AA88" s="55">
        <f t="shared" si="30"/>
        <v>0</v>
      </c>
      <c r="AB88" s="55">
        <f t="shared" si="30"/>
        <v>0</v>
      </c>
      <c r="AC88" s="55">
        <f t="shared" si="30"/>
        <v>0</v>
      </c>
      <c r="AD88" s="55">
        <f t="shared" si="30"/>
        <v>0</v>
      </c>
      <c r="AE88" s="55">
        <f t="shared" si="30"/>
        <v>0</v>
      </c>
      <c r="AF88" s="55">
        <f t="shared" si="30"/>
        <v>0</v>
      </c>
      <c r="AG88" s="55">
        <f t="shared" si="30"/>
        <v>0</v>
      </c>
      <c r="AH88" s="55">
        <f t="shared" si="30"/>
        <v>0</v>
      </c>
      <c r="AI88" s="55">
        <f t="shared" si="30"/>
        <v>0</v>
      </c>
      <c r="AJ88" s="55">
        <f t="shared" si="30"/>
        <v>0</v>
      </c>
      <c r="AK88" s="55">
        <f t="shared" si="30"/>
        <v>0</v>
      </c>
      <c r="AL88" s="55">
        <f t="shared" si="30"/>
        <v>0</v>
      </c>
      <c r="AM88" s="55">
        <f t="shared" si="30"/>
        <v>0</v>
      </c>
      <c r="AN88" s="55">
        <f t="shared" si="30"/>
        <v>0</v>
      </c>
      <c r="AO88" s="55">
        <f t="shared" si="30"/>
        <v>0</v>
      </c>
      <c r="AP88" s="55">
        <f t="shared" si="30"/>
        <v>0</v>
      </c>
      <c r="AQ88" s="55">
        <f t="shared" ref="AQ88" si="31">IF($C86="",0,IF(AND(AQ86=$C86,AQ87=$C87),5,IF(OR(AND(AQ86-AQ87&gt;0,$C86-$C87&gt;0),AND(AQ87-AQ86&gt;0,$C87-$C86&gt;0),AND(AQ86-AQ87=0,$C86-$C87=0)),2,0)+IF(OR(AQ86=$C86,AQ87=$C87),1,0)))</f>
        <v>0</v>
      </c>
      <c r="AR88" s="55">
        <f t="shared" si="30"/>
        <v>0</v>
      </c>
      <c r="AS88" s="55">
        <f t="shared" si="30"/>
        <v>0</v>
      </c>
      <c r="AT88" s="55">
        <f t="shared" si="30"/>
        <v>0</v>
      </c>
      <c r="AU88" s="55">
        <f t="shared" si="30"/>
        <v>0</v>
      </c>
      <c r="AV88" s="55">
        <f t="shared" si="30"/>
        <v>0</v>
      </c>
      <c r="AW88" s="55">
        <f t="shared" si="30"/>
        <v>0</v>
      </c>
      <c r="AX88" s="55">
        <f t="shared" si="30"/>
        <v>0</v>
      </c>
      <c r="AY88" s="55">
        <f t="shared" si="30"/>
        <v>0</v>
      </c>
      <c r="AZ88" s="55">
        <f t="shared" si="30"/>
        <v>0</v>
      </c>
      <c r="BA88" s="55">
        <f t="shared" si="30"/>
        <v>0</v>
      </c>
      <c r="BB88" s="55">
        <f t="shared" si="30"/>
        <v>0</v>
      </c>
      <c r="BC88" s="55">
        <f t="shared" si="30"/>
        <v>0</v>
      </c>
      <c r="BD88" s="55">
        <f t="shared" si="30"/>
        <v>0</v>
      </c>
      <c r="BE88" s="55">
        <f t="shared" si="30"/>
        <v>0</v>
      </c>
      <c r="BF88" s="55">
        <f t="shared" si="30"/>
        <v>0</v>
      </c>
      <c r="BG88" s="55">
        <f t="shared" si="30"/>
        <v>0</v>
      </c>
      <c r="BH88" s="55">
        <f t="shared" si="30"/>
        <v>0</v>
      </c>
      <c r="BI88" s="55">
        <f t="shared" si="30"/>
        <v>0</v>
      </c>
      <c r="BJ88" s="55">
        <f t="shared" si="30"/>
        <v>0</v>
      </c>
    </row>
    <row r="89" spans="1:62" ht="15.75" customHeight="1" x14ac:dyDescent="0.25">
      <c r="A89" s="62"/>
      <c r="B89" s="19">
        <v>0.75</v>
      </c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</row>
    <row r="90" spans="1:62" ht="15.75" customHeight="1" x14ac:dyDescent="0.25">
      <c r="A90" s="13"/>
      <c r="B90" s="13"/>
      <c r="C90" s="20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</row>
    <row r="91" spans="1:62" ht="18.75" customHeight="1" x14ac:dyDescent="0.25">
      <c r="A91" s="61">
        <v>30</v>
      </c>
      <c r="B91" s="14" t="s">
        <v>79</v>
      </c>
      <c r="C91" s="15"/>
      <c r="D91" s="16">
        <v>0</v>
      </c>
      <c r="E91" s="16">
        <v>1</v>
      </c>
      <c r="F91" s="16">
        <v>1</v>
      </c>
      <c r="G91" s="17">
        <v>0</v>
      </c>
      <c r="H91" s="16">
        <v>1</v>
      </c>
      <c r="I91" s="16">
        <v>2</v>
      </c>
      <c r="J91" s="16">
        <v>1</v>
      </c>
      <c r="K91" s="16">
        <v>0</v>
      </c>
      <c r="L91" s="16">
        <v>0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7">
        <v>0</v>
      </c>
      <c r="S91" s="16">
        <v>0</v>
      </c>
      <c r="T91" s="16">
        <v>1</v>
      </c>
      <c r="U91" s="16">
        <v>1</v>
      </c>
      <c r="V91" s="16">
        <v>1</v>
      </c>
      <c r="W91" s="16">
        <v>1</v>
      </c>
      <c r="X91" s="16">
        <v>0</v>
      </c>
      <c r="Y91" s="16">
        <v>1</v>
      </c>
      <c r="Z91" s="16">
        <v>1</v>
      </c>
      <c r="AA91" s="17">
        <v>0</v>
      </c>
      <c r="AB91" s="16">
        <v>0</v>
      </c>
      <c r="AC91" s="16">
        <v>1</v>
      </c>
      <c r="AD91" s="17">
        <v>2</v>
      </c>
      <c r="AE91" s="17">
        <v>1</v>
      </c>
      <c r="AF91" s="17">
        <v>1</v>
      </c>
      <c r="AG91" s="16">
        <v>1</v>
      </c>
      <c r="AH91" s="16">
        <v>1</v>
      </c>
      <c r="AI91" s="17">
        <v>2</v>
      </c>
      <c r="AJ91" s="16">
        <v>1</v>
      </c>
      <c r="AK91" s="16">
        <v>1</v>
      </c>
      <c r="AL91" s="16">
        <v>2</v>
      </c>
      <c r="AM91" s="16">
        <v>1</v>
      </c>
      <c r="AN91" s="16">
        <v>0</v>
      </c>
      <c r="AO91" s="16">
        <v>1</v>
      </c>
      <c r="AP91" s="17">
        <v>0</v>
      </c>
      <c r="AQ91" s="16">
        <v>1</v>
      </c>
      <c r="AR91" s="17">
        <v>1</v>
      </c>
      <c r="AS91" s="17">
        <v>0</v>
      </c>
      <c r="AT91" s="16">
        <v>0</v>
      </c>
      <c r="AU91" s="17">
        <v>1</v>
      </c>
      <c r="AV91" s="16">
        <v>2</v>
      </c>
      <c r="AW91" s="16">
        <v>0</v>
      </c>
      <c r="AX91" s="16">
        <v>2</v>
      </c>
      <c r="AY91" s="16">
        <v>1</v>
      </c>
      <c r="AZ91" s="16">
        <v>0</v>
      </c>
      <c r="BA91" s="16">
        <v>1</v>
      </c>
      <c r="BB91" s="16">
        <v>0</v>
      </c>
      <c r="BC91" s="17">
        <v>1</v>
      </c>
      <c r="BD91" s="16">
        <v>1</v>
      </c>
      <c r="BE91" s="17">
        <v>1</v>
      </c>
      <c r="BF91" s="17">
        <v>0</v>
      </c>
      <c r="BG91" s="16">
        <v>2</v>
      </c>
      <c r="BH91" s="17">
        <v>0</v>
      </c>
      <c r="BI91" s="16">
        <v>1</v>
      </c>
      <c r="BJ91" s="16">
        <v>0</v>
      </c>
    </row>
    <row r="92" spans="1:62" ht="21" customHeight="1" x14ac:dyDescent="0.25">
      <c r="A92" s="62"/>
      <c r="B92" s="14" t="s">
        <v>77</v>
      </c>
      <c r="C92" s="15"/>
      <c r="D92" s="16">
        <v>1</v>
      </c>
      <c r="E92" s="16">
        <v>2</v>
      </c>
      <c r="F92" s="16">
        <v>2</v>
      </c>
      <c r="G92" s="17">
        <v>2</v>
      </c>
      <c r="H92" s="16">
        <v>1</v>
      </c>
      <c r="I92" s="16">
        <v>2</v>
      </c>
      <c r="J92" s="16">
        <v>2</v>
      </c>
      <c r="K92" s="16">
        <v>2</v>
      </c>
      <c r="L92" s="16">
        <v>1</v>
      </c>
      <c r="M92" s="16">
        <v>2</v>
      </c>
      <c r="N92" s="16">
        <v>2</v>
      </c>
      <c r="O92" s="16">
        <v>1</v>
      </c>
      <c r="P92" s="16">
        <v>1</v>
      </c>
      <c r="Q92" s="16">
        <v>3</v>
      </c>
      <c r="R92" s="17">
        <v>1</v>
      </c>
      <c r="S92" s="16">
        <v>1</v>
      </c>
      <c r="T92" s="16">
        <v>2</v>
      </c>
      <c r="U92" s="16">
        <v>1</v>
      </c>
      <c r="V92" s="16">
        <v>1</v>
      </c>
      <c r="W92" s="16">
        <v>3</v>
      </c>
      <c r="X92" s="16">
        <v>3</v>
      </c>
      <c r="Y92" s="16">
        <v>2</v>
      </c>
      <c r="Z92" s="16">
        <v>1</v>
      </c>
      <c r="AA92" s="17">
        <v>3</v>
      </c>
      <c r="AB92" s="16">
        <v>2</v>
      </c>
      <c r="AC92" s="16">
        <v>1</v>
      </c>
      <c r="AD92" s="17">
        <v>0</v>
      </c>
      <c r="AE92" s="17">
        <v>1</v>
      </c>
      <c r="AF92" s="17">
        <v>1</v>
      </c>
      <c r="AG92" s="16">
        <v>1</v>
      </c>
      <c r="AH92" s="16">
        <v>1</v>
      </c>
      <c r="AI92" s="17">
        <v>3</v>
      </c>
      <c r="AJ92" s="16">
        <v>1</v>
      </c>
      <c r="AK92" s="16">
        <v>1</v>
      </c>
      <c r="AL92" s="16">
        <v>0</v>
      </c>
      <c r="AM92" s="16">
        <v>1</v>
      </c>
      <c r="AN92" s="16">
        <v>1</v>
      </c>
      <c r="AO92" s="16">
        <v>2</v>
      </c>
      <c r="AP92" s="17">
        <v>1</v>
      </c>
      <c r="AQ92" s="16">
        <v>1</v>
      </c>
      <c r="AR92" s="17">
        <v>3</v>
      </c>
      <c r="AS92" s="17">
        <v>3</v>
      </c>
      <c r="AT92" s="16">
        <v>1</v>
      </c>
      <c r="AU92" s="17">
        <v>1</v>
      </c>
      <c r="AV92" s="16">
        <v>1</v>
      </c>
      <c r="AW92" s="16">
        <v>2</v>
      </c>
      <c r="AX92" s="16">
        <v>2</v>
      </c>
      <c r="AY92" s="16">
        <v>1</v>
      </c>
      <c r="AZ92" s="16">
        <v>3</v>
      </c>
      <c r="BA92" s="16">
        <v>2</v>
      </c>
      <c r="BB92" s="16">
        <v>3</v>
      </c>
      <c r="BC92" s="17">
        <v>1</v>
      </c>
      <c r="BD92" s="16">
        <v>2</v>
      </c>
      <c r="BE92" s="17">
        <v>1</v>
      </c>
      <c r="BF92" s="17">
        <v>2</v>
      </c>
      <c r="BG92" s="16">
        <v>1</v>
      </c>
      <c r="BH92" s="17">
        <v>1</v>
      </c>
      <c r="BI92" s="16">
        <v>1</v>
      </c>
      <c r="BJ92" s="16">
        <v>2</v>
      </c>
    </row>
    <row r="93" spans="1:62" ht="15.75" customHeight="1" x14ac:dyDescent="0.25">
      <c r="A93" s="62"/>
      <c r="B93" s="18">
        <v>46192</v>
      </c>
      <c r="C93" s="60" t="s">
        <v>65</v>
      </c>
      <c r="D93" s="55">
        <f t="shared" ref="D93:BJ93" si="32">IF($C91="",0,IF(AND(D91=$C91,D92=$C92),5,IF(OR(AND(D91-D92&gt;0,$C91-$C92&gt;0),AND(D92-D91&gt;0,$C92-$C91&gt;0),AND(D91-D92=0,$C91-$C92=0)),2,0)+IF(OR(D91=$C91,D92=$C92),1,0)))</f>
        <v>0</v>
      </c>
      <c r="E93" s="55">
        <f t="shared" si="32"/>
        <v>0</v>
      </c>
      <c r="F93" s="55">
        <f t="shared" si="32"/>
        <v>0</v>
      </c>
      <c r="G93" s="55">
        <f t="shared" si="32"/>
        <v>0</v>
      </c>
      <c r="H93" s="55">
        <f t="shared" si="32"/>
        <v>0</v>
      </c>
      <c r="I93" s="55">
        <f t="shared" si="32"/>
        <v>0</v>
      </c>
      <c r="J93" s="55">
        <f t="shared" si="32"/>
        <v>0</v>
      </c>
      <c r="K93" s="55">
        <f t="shared" si="32"/>
        <v>0</v>
      </c>
      <c r="L93" s="55">
        <f t="shared" si="32"/>
        <v>0</v>
      </c>
      <c r="M93" s="55">
        <f t="shared" si="32"/>
        <v>0</v>
      </c>
      <c r="N93" s="55">
        <f t="shared" si="32"/>
        <v>0</v>
      </c>
      <c r="O93" s="55">
        <f t="shared" si="32"/>
        <v>0</v>
      </c>
      <c r="P93" s="55">
        <f t="shared" si="32"/>
        <v>0</v>
      </c>
      <c r="Q93" s="55">
        <f t="shared" si="32"/>
        <v>0</v>
      </c>
      <c r="R93" s="55">
        <f t="shared" si="32"/>
        <v>0</v>
      </c>
      <c r="S93" s="55">
        <f t="shared" si="32"/>
        <v>0</v>
      </c>
      <c r="T93" s="55">
        <f t="shared" si="32"/>
        <v>0</v>
      </c>
      <c r="U93" s="55">
        <f t="shared" si="32"/>
        <v>0</v>
      </c>
      <c r="V93" s="55">
        <f t="shared" si="32"/>
        <v>0</v>
      </c>
      <c r="W93" s="55">
        <f t="shared" si="32"/>
        <v>0</v>
      </c>
      <c r="X93" s="55">
        <f t="shared" si="32"/>
        <v>0</v>
      </c>
      <c r="Y93" s="55">
        <f t="shared" si="32"/>
        <v>0</v>
      </c>
      <c r="Z93" s="55">
        <f t="shared" si="32"/>
        <v>0</v>
      </c>
      <c r="AA93" s="55">
        <f t="shared" si="32"/>
        <v>0</v>
      </c>
      <c r="AB93" s="55">
        <f t="shared" si="32"/>
        <v>0</v>
      </c>
      <c r="AC93" s="55">
        <f t="shared" si="32"/>
        <v>0</v>
      </c>
      <c r="AD93" s="55">
        <f t="shared" si="32"/>
        <v>0</v>
      </c>
      <c r="AE93" s="55">
        <f t="shared" si="32"/>
        <v>0</v>
      </c>
      <c r="AF93" s="55">
        <f t="shared" si="32"/>
        <v>0</v>
      </c>
      <c r="AG93" s="55">
        <f t="shared" si="32"/>
        <v>0</v>
      </c>
      <c r="AH93" s="55">
        <f t="shared" si="32"/>
        <v>0</v>
      </c>
      <c r="AI93" s="55">
        <f t="shared" si="32"/>
        <v>0</v>
      </c>
      <c r="AJ93" s="55">
        <f t="shared" si="32"/>
        <v>0</v>
      </c>
      <c r="AK93" s="55">
        <f t="shared" si="32"/>
        <v>0</v>
      </c>
      <c r="AL93" s="55">
        <f t="shared" si="32"/>
        <v>0</v>
      </c>
      <c r="AM93" s="55">
        <f t="shared" si="32"/>
        <v>0</v>
      </c>
      <c r="AN93" s="55">
        <f t="shared" si="32"/>
        <v>0</v>
      </c>
      <c r="AO93" s="55">
        <f t="shared" si="32"/>
        <v>0</v>
      </c>
      <c r="AP93" s="55">
        <f t="shared" si="32"/>
        <v>0</v>
      </c>
      <c r="AQ93" s="55">
        <f t="shared" ref="AQ93" si="33">IF($C91="",0,IF(AND(AQ91=$C91,AQ92=$C92),5,IF(OR(AND(AQ91-AQ92&gt;0,$C91-$C92&gt;0),AND(AQ92-AQ91&gt;0,$C92-$C91&gt;0),AND(AQ91-AQ92=0,$C91-$C92=0)),2,0)+IF(OR(AQ91=$C91,AQ92=$C92),1,0)))</f>
        <v>0</v>
      </c>
      <c r="AR93" s="55">
        <f t="shared" si="32"/>
        <v>0</v>
      </c>
      <c r="AS93" s="55">
        <f t="shared" si="32"/>
        <v>0</v>
      </c>
      <c r="AT93" s="55">
        <f t="shared" si="32"/>
        <v>0</v>
      </c>
      <c r="AU93" s="55">
        <f t="shared" si="32"/>
        <v>0</v>
      </c>
      <c r="AV93" s="55">
        <f t="shared" si="32"/>
        <v>0</v>
      </c>
      <c r="AW93" s="55">
        <f t="shared" si="32"/>
        <v>0</v>
      </c>
      <c r="AX93" s="55">
        <f t="shared" si="32"/>
        <v>0</v>
      </c>
      <c r="AY93" s="55">
        <f t="shared" si="32"/>
        <v>0</v>
      </c>
      <c r="AZ93" s="55">
        <f t="shared" si="32"/>
        <v>0</v>
      </c>
      <c r="BA93" s="55">
        <f t="shared" si="32"/>
        <v>0</v>
      </c>
      <c r="BB93" s="55">
        <f t="shared" si="32"/>
        <v>0</v>
      </c>
      <c r="BC93" s="55">
        <f t="shared" si="32"/>
        <v>0</v>
      </c>
      <c r="BD93" s="55">
        <f t="shared" si="32"/>
        <v>0</v>
      </c>
      <c r="BE93" s="55">
        <f t="shared" si="32"/>
        <v>0</v>
      </c>
      <c r="BF93" s="55">
        <f t="shared" si="32"/>
        <v>0</v>
      </c>
      <c r="BG93" s="55">
        <f t="shared" si="32"/>
        <v>0</v>
      </c>
      <c r="BH93" s="55">
        <f t="shared" si="32"/>
        <v>0</v>
      </c>
      <c r="BI93" s="55">
        <f t="shared" si="32"/>
        <v>0</v>
      </c>
      <c r="BJ93" s="55">
        <f t="shared" si="32"/>
        <v>0</v>
      </c>
    </row>
    <row r="94" spans="1:62" ht="15.75" customHeight="1" x14ac:dyDescent="0.25">
      <c r="A94" s="62"/>
      <c r="B94" s="19">
        <v>0.70833333333333337</v>
      </c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</row>
    <row r="95" spans="1:62" ht="15.75" customHeight="1" x14ac:dyDescent="0.25">
      <c r="A95" s="13"/>
      <c r="B95" s="13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</row>
    <row r="96" spans="1:62" ht="20.25" customHeight="1" x14ac:dyDescent="0.25">
      <c r="A96" s="61">
        <v>29</v>
      </c>
      <c r="B96" s="14" t="s">
        <v>76</v>
      </c>
      <c r="C96" s="15"/>
      <c r="D96" s="16">
        <v>5</v>
      </c>
      <c r="E96" s="16">
        <v>4</v>
      </c>
      <c r="F96" s="16">
        <v>3</v>
      </c>
      <c r="G96" s="17">
        <v>5</v>
      </c>
      <c r="H96" s="16">
        <v>4</v>
      </c>
      <c r="I96" s="16">
        <v>6</v>
      </c>
      <c r="J96" s="16">
        <v>4</v>
      </c>
      <c r="K96" s="16">
        <v>5</v>
      </c>
      <c r="L96" s="16">
        <v>4</v>
      </c>
      <c r="M96" s="16">
        <v>5</v>
      </c>
      <c r="N96" s="16">
        <v>5</v>
      </c>
      <c r="O96" s="16">
        <v>4</v>
      </c>
      <c r="P96" s="16">
        <v>5</v>
      </c>
      <c r="Q96" s="16">
        <v>5</v>
      </c>
      <c r="R96" s="17">
        <v>4</v>
      </c>
      <c r="S96" s="16">
        <v>4</v>
      </c>
      <c r="T96" s="16">
        <v>3</v>
      </c>
      <c r="U96" s="16">
        <v>5</v>
      </c>
      <c r="V96" s="16">
        <v>4</v>
      </c>
      <c r="W96" s="16">
        <v>6</v>
      </c>
      <c r="X96" s="16">
        <v>4</v>
      </c>
      <c r="Y96" s="16">
        <v>4</v>
      </c>
      <c r="Z96" s="16">
        <v>4</v>
      </c>
      <c r="AA96" s="17">
        <v>4</v>
      </c>
      <c r="AB96" s="16">
        <v>3</v>
      </c>
      <c r="AC96" s="16">
        <v>3</v>
      </c>
      <c r="AD96" s="17">
        <v>5</v>
      </c>
      <c r="AE96" s="17">
        <v>4</v>
      </c>
      <c r="AF96" s="17">
        <v>4</v>
      </c>
      <c r="AG96" s="16">
        <v>3</v>
      </c>
      <c r="AH96" s="16">
        <v>3</v>
      </c>
      <c r="AI96" s="17">
        <v>2</v>
      </c>
      <c r="AJ96" s="16">
        <v>10</v>
      </c>
      <c r="AK96" s="16">
        <v>3</v>
      </c>
      <c r="AL96" s="16">
        <v>3</v>
      </c>
      <c r="AM96" s="16">
        <v>3</v>
      </c>
      <c r="AN96" s="16">
        <v>4</v>
      </c>
      <c r="AO96" s="16">
        <v>4</v>
      </c>
      <c r="AP96" s="17">
        <v>3</v>
      </c>
      <c r="AQ96" s="16">
        <v>4</v>
      </c>
      <c r="AR96" s="17">
        <v>5</v>
      </c>
      <c r="AS96" s="17">
        <v>3</v>
      </c>
      <c r="AT96" s="16">
        <v>2</v>
      </c>
      <c r="AU96" s="17">
        <v>3</v>
      </c>
      <c r="AV96" s="16">
        <v>3</v>
      </c>
      <c r="AW96" s="16">
        <v>5</v>
      </c>
      <c r="AX96" s="16">
        <v>4</v>
      </c>
      <c r="AY96" s="16">
        <v>4</v>
      </c>
      <c r="AZ96" s="16">
        <v>4</v>
      </c>
      <c r="BA96" s="16">
        <v>4</v>
      </c>
      <c r="BB96" s="16">
        <v>3</v>
      </c>
      <c r="BC96" s="17">
        <v>3</v>
      </c>
      <c r="BD96" s="16">
        <v>4</v>
      </c>
      <c r="BE96" s="17">
        <v>3</v>
      </c>
      <c r="BF96" s="17">
        <v>3</v>
      </c>
      <c r="BG96" s="16">
        <v>0</v>
      </c>
      <c r="BH96" s="17">
        <v>5</v>
      </c>
      <c r="BI96" s="16">
        <v>5</v>
      </c>
      <c r="BJ96" s="16">
        <v>1</v>
      </c>
    </row>
    <row r="97" spans="1:62" ht="23.25" customHeight="1" x14ac:dyDescent="0.25">
      <c r="A97" s="62"/>
      <c r="B97" s="14" t="s">
        <v>78</v>
      </c>
      <c r="C97" s="15"/>
      <c r="D97" s="16">
        <v>0</v>
      </c>
      <c r="E97" s="16">
        <v>0</v>
      </c>
      <c r="F97" s="16">
        <v>0</v>
      </c>
      <c r="G97" s="17">
        <v>0</v>
      </c>
      <c r="H97" s="16">
        <v>0</v>
      </c>
      <c r="I97" s="16">
        <v>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7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1</v>
      </c>
      <c r="Y97" s="16">
        <v>0</v>
      </c>
      <c r="Z97" s="16">
        <v>0</v>
      </c>
      <c r="AA97" s="17">
        <v>1</v>
      </c>
      <c r="AB97" s="16">
        <v>0</v>
      </c>
      <c r="AC97" s="16">
        <v>0</v>
      </c>
      <c r="AD97" s="17">
        <v>0</v>
      </c>
      <c r="AE97" s="17">
        <v>0</v>
      </c>
      <c r="AF97" s="17">
        <v>0</v>
      </c>
      <c r="AG97" s="16">
        <v>0</v>
      </c>
      <c r="AH97" s="16">
        <v>0</v>
      </c>
      <c r="AI97" s="17">
        <v>3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7">
        <v>0</v>
      </c>
      <c r="AQ97" s="16">
        <v>0</v>
      </c>
      <c r="AR97" s="17">
        <v>0</v>
      </c>
      <c r="AS97" s="17">
        <v>1</v>
      </c>
      <c r="AT97" s="16">
        <v>0</v>
      </c>
      <c r="AU97" s="17">
        <v>0</v>
      </c>
      <c r="AV97" s="16">
        <v>0</v>
      </c>
      <c r="AW97" s="16">
        <v>0</v>
      </c>
      <c r="AX97" s="16">
        <v>1</v>
      </c>
      <c r="AY97" s="16">
        <v>0</v>
      </c>
      <c r="AZ97" s="16">
        <v>0</v>
      </c>
      <c r="BA97" s="16">
        <v>0</v>
      </c>
      <c r="BB97" s="16">
        <v>0</v>
      </c>
      <c r="BC97" s="17">
        <v>0</v>
      </c>
      <c r="BD97" s="16">
        <v>0</v>
      </c>
      <c r="BE97" s="17">
        <v>0</v>
      </c>
      <c r="BF97" s="17">
        <v>0</v>
      </c>
      <c r="BG97" s="16">
        <v>2</v>
      </c>
      <c r="BH97" s="17">
        <v>0</v>
      </c>
      <c r="BI97" s="16">
        <v>0</v>
      </c>
      <c r="BJ97" s="16">
        <v>0</v>
      </c>
    </row>
    <row r="98" spans="1:62" ht="15.75" customHeight="1" x14ac:dyDescent="0.25">
      <c r="A98" s="62"/>
      <c r="B98" s="18">
        <v>46192</v>
      </c>
      <c r="C98" s="60" t="s">
        <v>65</v>
      </c>
      <c r="D98" s="55">
        <f t="shared" ref="D98:BJ98" si="34">IF($C96="",0,IF(AND(D96=$C96,D97=$C97),5,IF(OR(AND(D96-D97&gt;0,$C96-$C97&gt;0),AND(D97-D96&gt;0,$C97-$C96&gt;0),AND(D96-D97=0,$C96-$C97=0)),2,0)+IF(OR(D96=$C96,D97=$C97),1,0)))</f>
        <v>0</v>
      </c>
      <c r="E98" s="55">
        <f t="shared" si="34"/>
        <v>0</v>
      </c>
      <c r="F98" s="55">
        <f t="shared" si="34"/>
        <v>0</v>
      </c>
      <c r="G98" s="55">
        <f t="shared" si="34"/>
        <v>0</v>
      </c>
      <c r="H98" s="55">
        <f t="shared" si="34"/>
        <v>0</v>
      </c>
      <c r="I98" s="55">
        <f t="shared" si="34"/>
        <v>0</v>
      </c>
      <c r="J98" s="55">
        <f t="shared" si="34"/>
        <v>0</v>
      </c>
      <c r="K98" s="55">
        <f t="shared" si="34"/>
        <v>0</v>
      </c>
      <c r="L98" s="55">
        <f t="shared" si="34"/>
        <v>0</v>
      </c>
      <c r="M98" s="55">
        <f t="shared" si="34"/>
        <v>0</v>
      </c>
      <c r="N98" s="55">
        <f t="shared" si="34"/>
        <v>0</v>
      </c>
      <c r="O98" s="55">
        <f t="shared" si="34"/>
        <v>0</v>
      </c>
      <c r="P98" s="55">
        <f t="shared" si="34"/>
        <v>0</v>
      </c>
      <c r="Q98" s="55">
        <f t="shared" si="34"/>
        <v>0</v>
      </c>
      <c r="R98" s="55">
        <f t="shared" si="34"/>
        <v>0</v>
      </c>
      <c r="S98" s="55">
        <f t="shared" si="34"/>
        <v>0</v>
      </c>
      <c r="T98" s="55">
        <f t="shared" si="34"/>
        <v>0</v>
      </c>
      <c r="U98" s="55">
        <f t="shared" si="34"/>
        <v>0</v>
      </c>
      <c r="V98" s="55">
        <f t="shared" si="34"/>
        <v>0</v>
      </c>
      <c r="W98" s="55">
        <f t="shared" si="34"/>
        <v>0</v>
      </c>
      <c r="X98" s="55">
        <f t="shared" si="34"/>
        <v>0</v>
      </c>
      <c r="Y98" s="55">
        <f t="shared" si="34"/>
        <v>0</v>
      </c>
      <c r="Z98" s="55">
        <f t="shared" si="34"/>
        <v>0</v>
      </c>
      <c r="AA98" s="55">
        <f t="shared" si="34"/>
        <v>0</v>
      </c>
      <c r="AB98" s="55">
        <f t="shared" si="34"/>
        <v>0</v>
      </c>
      <c r="AC98" s="55">
        <f t="shared" si="34"/>
        <v>0</v>
      </c>
      <c r="AD98" s="55">
        <f t="shared" si="34"/>
        <v>0</v>
      </c>
      <c r="AE98" s="55">
        <f t="shared" si="34"/>
        <v>0</v>
      </c>
      <c r="AF98" s="55">
        <f t="shared" si="34"/>
        <v>0</v>
      </c>
      <c r="AG98" s="55">
        <f t="shared" si="34"/>
        <v>0</v>
      </c>
      <c r="AH98" s="55">
        <f t="shared" si="34"/>
        <v>0</v>
      </c>
      <c r="AI98" s="55">
        <f t="shared" si="34"/>
        <v>0</v>
      </c>
      <c r="AJ98" s="55">
        <f t="shared" si="34"/>
        <v>0</v>
      </c>
      <c r="AK98" s="55">
        <f t="shared" si="34"/>
        <v>0</v>
      </c>
      <c r="AL98" s="55">
        <f t="shared" si="34"/>
        <v>0</v>
      </c>
      <c r="AM98" s="55">
        <f t="shared" si="34"/>
        <v>0</v>
      </c>
      <c r="AN98" s="55">
        <f t="shared" si="34"/>
        <v>0</v>
      </c>
      <c r="AO98" s="55">
        <f t="shared" si="34"/>
        <v>0</v>
      </c>
      <c r="AP98" s="55">
        <f t="shared" si="34"/>
        <v>0</v>
      </c>
      <c r="AQ98" s="55">
        <f t="shared" ref="AQ98" si="35">IF($C96="",0,IF(AND(AQ96=$C96,AQ97=$C97),5,IF(OR(AND(AQ96-AQ97&gt;0,$C96-$C97&gt;0),AND(AQ97-AQ96&gt;0,$C97-$C96&gt;0),AND(AQ96-AQ97=0,$C96-$C97=0)),2,0)+IF(OR(AQ96=$C96,AQ97=$C97),1,0)))</f>
        <v>0</v>
      </c>
      <c r="AR98" s="55">
        <f t="shared" si="34"/>
        <v>0</v>
      </c>
      <c r="AS98" s="55">
        <f t="shared" si="34"/>
        <v>0</v>
      </c>
      <c r="AT98" s="55">
        <f t="shared" si="34"/>
        <v>0</v>
      </c>
      <c r="AU98" s="55">
        <f t="shared" si="34"/>
        <v>0</v>
      </c>
      <c r="AV98" s="55">
        <f t="shared" si="34"/>
        <v>0</v>
      </c>
      <c r="AW98" s="55">
        <f t="shared" si="34"/>
        <v>0</v>
      </c>
      <c r="AX98" s="55">
        <f t="shared" si="34"/>
        <v>0</v>
      </c>
      <c r="AY98" s="55">
        <f t="shared" si="34"/>
        <v>0</v>
      </c>
      <c r="AZ98" s="55">
        <f t="shared" si="34"/>
        <v>0</v>
      </c>
      <c r="BA98" s="55">
        <f t="shared" si="34"/>
        <v>0</v>
      </c>
      <c r="BB98" s="55">
        <f t="shared" si="34"/>
        <v>0</v>
      </c>
      <c r="BC98" s="55">
        <f t="shared" si="34"/>
        <v>0</v>
      </c>
      <c r="BD98" s="55">
        <f t="shared" si="34"/>
        <v>0</v>
      </c>
      <c r="BE98" s="55">
        <f t="shared" si="34"/>
        <v>0</v>
      </c>
      <c r="BF98" s="55">
        <f t="shared" si="34"/>
        <v>0</v>
      </c>
      <c r="BG98" s="55">
        <f t="shared" si="34"/>
        <v>0</v>
      </c>
      <c r="BH98" s="55">
        <f t="shared" si="34"/>
        <v>0</v>
      </c>
      <c r="BI98" s="55">
        <f t="shared" si="34"/>
        <v>0</v>
      </c>
      <c r="BJ98" s="55">
        <f t="shared" si="34"/>
        <v>0</v>
      </c>
    </row>
    <row r="99" spans="1:62" ht="15.75" customHeight="1" x14ac:dyDescent="0.25">
      <c r="A99" s="62"/>
      <c r="B99" s="19">
        <v>0.8125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</row>
    <row r="100" spans="1:62" ht="15.75" customHeight="1" x14ac:dyDescent="0.25">
      <c r="A100" s="23"/>
    </row>
    <row r="101" spans="1:62" ht="22.5" customHeight="1" x14ac:dyDescent="0.25">
      <c r="A101" s="61">
        <v>49</v>
      </c>
      <c r="B101" s="14" t="s">
        <v>79</v>
      </c>
      <c r="C101" s="15"/>
      <c r="D101" s="16">
        <v>0</v>
      </c>
      <c r="E101" s="16">
        <v>0</v>
      </c>
      <c r="F101" s="16">
        <v>1</v>
      </c>
      <c r="G101" s="17">
        <v>0</v>
      </c>
      <c r="H101" s="16">
        <v>0</v>
      </c>
      <c r="I101" s="16">
        <v>2</v>
      </c>
      <c r="J101" s="16">
        <v>0</v>
      </c>
      <c r="K101" s="16">
        <v>1</v>
      </c>
      <c r="L101" s="16">
        <v>0</v>
      </c>
      <c r="M101" s="16">
        <v>1</v>
      </c>
      <c r="N101" s="16">
        <v>0</v>
      </c>
      <c r="O101" s="16">
        <v>1</v>
      </c>
      <c r="P101" s="16">
        <v>1</v>
      </c>
      <c r="Q101" s="16">
        <v>1</v>
      </c>
      <c r="R101" s="17">
        <v>1</v>
      </c>
      <c r="S101" s="16">
        <v>0</v>
      </c>
      <c r="T101" s="16">
        <v>0</v>
      </c>
      <c r="U101" s="16">
        <v>1</v>
      </c>
      <c r="V101" s="16">
        <v>0</v>
      </c>
      <c r="W101" s="16">
        <v>1</v>
      </c>
      <c r="X101" s="16">
        <v>0</v>
      </c>
      <c r="Y101" s="16">
        <v>1</v>
      </c>
      <c r="Z101" s="16">
        <v>0</v>
      </c>
      <c r="AA101" s="17">
        <v>3</v>
      </c>
      <c r="AB101" s="16">
        <v>0</v>
      </c>
      <c r="AC101" s="16">
        <v>0</v>
      </c>
      <c r="AD101" s="17">
        <v>2</v>
      </c>
      <c r="AE101" s="17">
        <v>1</v>
      </c>
      <c r="AF101" s="17">
        <v>0</v>
      </c>
      <c r="AG101" s="16">
        <v>0</v>
      </c>
      <c r="AH101" s="16">
        <v>1</v>
      </c>
      <c r="AI101" s="17">
        <v>3</v>
      </c>
      <c r="AJ101" s="16">
        <v>0</v>
      </c>
      <c r="AK101" s="16">
        <v>1</v>
      </c>
      <c r="AL101" s="16">
        <v>1</v>
      </c>
      <c r="AM101" s="16">
        <v>1</v>
      </c>
      <c r="AN101" s="16">
        <v>0</v>
      </c>
      <c r="AO101" s="16">
        <v>0</v>
      </c>
      <c r="AP101" s="17">
        <v>0</v>
      </c>
      <c r="AQ101" s="16">
        <v>1</v>
      </c>
      <c r="AR101" s="17">
        <v>0</v>
      </c>
      <c r="AS101" s="17">
        <v>1</v>
      </c>
      <c r="AT101" s="16">
        <v>1</v>
      </c>
      <c r="AU101" s="17">
        <v>1</v>
      </c>
      <c r="AV101" s="16">
        <v>1</v>
      </c>
      <c r="AW101" s="16">
        <v>0</v>
      </c>
      <c r="AX101" s="16">
        <v>1</v>
      </c>
      <c r="AY101" s="16">
        <v>0</v>
      </c>
      <c r="AZ101" s="16">
        <v>0</v>
      </c>
      <c r="BA101" s="16">
        <v>0</v>
      </c>
      <c r="BB101" s="16">
        <v>0</v>
      </c>
      <c r="BC101" s="17">
        <v>1</v>
      </c>
      <c r="BD101" s="16">
        <v>0</v>
      </c>
      <c r="BE101" s="17">
        <v>0</v>
      </c>
      <c r="BF101" s="17">
        <v>0</v>
      </c>
      <c r="BG101" s="16">
        <v>0</v>
      </c>
      <c r="BH101" s="17">
        <v>0</v>
      </c>
      <c r="BI101" s="16">
        <v>1</v>
      </c>
      <c r="BJ101" s="16">
        <v>0</v>
      </c>
    </row>
    <row r="102" spans="1:62" ht="20.25" customHeight="1" x14ac:dyDescent="0.25">
      <c r="A102" s="62"/>
      <c r="B102" s="14" t="s">
        <v>76</v>
      </c>
      <c r="C102" s="15"/>
      <c r="D102" s="16">
        <v>2</v>
      </c>
      <c r="E102" s="16">
        <v>2</v>
      </c>
      <c r="F102" s="16">
        <v>3</v>
      </c>
      <c r="G102" s="17">
        <v>2</v>
      </c>
      <c r="H102" s="16">
        <v>2</v>
      </c>
      <c r="I102" s="16">
        <v>3</v>
      </c>
      <c r="J102" s="16">
        <v>2</v>
      </c>
      <c r="K102" s="16">
        <v>2</v>
      </c>
      <c r="L102" s="16">
        <v>2</v>
      </c>
      <c r="M102" s="16">
        <v>2</v>
      </c>
      <c r="N102" s="16">
        <v>2</v>
      </c>
      <c r="O102" s="16">
        <v>3</v>
      </c>
      <c r="P102" s="16">
        <v>3</v>
      </c>
      <c r="Q102" s="16">
        <v>2</v>
      </c>
      <c r="R102" s="17">
        <v>3</v>
      </c>
      <c r="S102" s="16">
        <v>2</v>
      </c>
      <c r="T102" s="16">
        <v>2</v>
      </c>
      <c r="U102" s="16">
        <v>3</v>
      </c>
      <c r="V102" s="16">
        <v>2</v>
      </c>
      <c r="W102" s="16">
        <v>3</v>
      </c>
      <c r="X102" s="16">
        <v>2</v>
      </c>
      <c r="Y102" s="16">
        <v>2</v>
      </c>
      <c r="Z102" s="16">
        <v>2</v>
      </c>
      <c r="AA102" s="17">
        <v>0</v>
      </c>
      <c r="AB102" s="16">
        <v>3</v>
      </c>
      <c r="AC102" s="16">
        <v>2</v>
      </c>
      <c r="AD102" s="17">
        <v>3</v>
      </c>
      <c r="AE102" s="17">
        <v>3</v>
      </c>
      <c r="AF102" s="17">
        <v>2</v>
      </c>
      <c r="AG102" s="16">
        <v>2</v>
      </c>
      <c r="AH102" s="16">
        <v>3</v>
      </c>
      <c r="AI102" s="17">
        <v>3</v>
      </c>
      <c r="AJ102" s="16">
        <v>3</v>
      </c>
      <c r="AK102" s="16">
        <v>3</v>
      </c>
      <c r="AL102" s="16">
        <v>2</v>
      </c>
      <c r="AM102" s="16">
        <v>2</v>
      </c>
      <c r="AN102" s="16">
        <v>3</v>
      </c>
      <c r="AO102" s="16">
        <v>3</v>
      </c>
      <c r="AP102" s="17">
        <v>2</v>
      </c>
      <c r="AQ102" s="16">
        <v>2</v>
      </c>
      <c r="AR102" s="17">
        <v>3</v>
      </c>
      <c r="AS102" s="17">
        <v>3</v>
      </c>
      <c r="AT102" s="16">
        <v>1</v>
      </c>
      <c r="AU102" s="17">
        <v>1</v>
      </c>
      <c r="AV102" s="16">
        <v>2</v>
      </c>
      <c r="AW102" s="16">
        <v>3</v>
      </c>
      <c r="AX102" s="16">
        <v>2</v>
      </c>
      <c r="AY102" s="16">
        <v>2</v>
      </c>
      <c r="AZ102" s="16">
        <v>3</v>
      </c>
      <c r="BA102" s="16">
        <v>2</v>
      </c>
      <c r="BB102" s="16">
        <v>4</v>
      </c>
      <c r="BC102" s="17">
        <v>2</v>
      </c>
      <c r="BD102" s="16">
        <v>2</v>
      </c>
      <c r="BE102" s="17">
        <v>2</v>
      </c>
      <c r="BF102" s="17">
        <v>2</v>
      </c>
      <c r="BG102" s="16">
        <v>2</v>
      </c>
      <c r="BH102" s="17">
        <v>2</v>
      </c>
      <c r="BI102" s="16">
        <v>1</v>
      </c>
      <c r="BJ102" s="16">
        <v>2</v>
      </c>
    </row>
    <row r="103" spans="1:62" ht="15.75" customHeight="1" x14ac:dyDescent="0.25">
      <c r="A103" s="62"/>
      <c r="B103" s="18">
        <v>46197</v>
      </c>
      <c r="C103" s="60" t="s">
        <v>65</v>
      </c>
      <c r="D103" s="55">
        <f t="shared" ref="D103:BJ103" si="36">IF($C101="",0,IF(AND(D101=$C101,D102=$C102),5,IF(OR(AND(D101-D102&gt;0,$C101-$C102&gt;0),AND(D102-D101&gt;0,$C102-$C101&gt;0),AND(D101-D102=0,$C101-$C102=0)),2,0)+IF(OR(D101=$C101,D102=$C102),1,0)))</f>
        <v>0</v>
      </c>
      <c r="E103" s="55">
        <f t="shared" si="36"/>
        <v>0</v>
      </c>
      <c r="F103" s="55">
        <f t="shared" si="36"/>
        <v>0</v>
      </c>
      <c r="G103" s="55">
        <f t="shared" si="36"/>
        <v>0</v>
      </c>
      <c r="H103" s="55">
        <f t="shared" si="36"/>
        <v>0</v>
      </c>
      <c r="I103" s="55">
        <f t="shared" si="36"/>
        <v>0</v>
      </c>
      <c r="J103" s="55">
        <f t="shared" si="36"/>
        <v>0</v>
      </c>
      <c r="K103" s="55">
        <f t="shared" si="36"/>
        <v>0</v>
      </c>
      <c r="L103" s="55">
        <f t="shared" si="36"/>
        <v>0</v>
      </c>
      <c r="M103" s="55">
        <f t="shared" si="36"/>
        <v>0</v>
      </c>
      <c r="N103" s="55">
        <f t="shared" si="36"/>
        <v>0</v>
      </c>
      <c r="O103" s="55">
        <f t="shared" si="36"/>
        <v>0</v>
      </c>
      <c r="P103" s="55">
        <f t="shared" si="36"/>
        <v>0</v>
      </c>
      <c r="Q103" s="55">
        <f t="shared" si="36"/>
        <v>0</v>
      </c>
      <c r="R103" s="55">
        <f t="shared" si="36"/>
        <v>0</v>
      </c>
      <c r="S103" s="55">
        <f t="shared" si="36"/>
        <v>0</v>
      </c>
      <c r="T103" s="55">
        <f t="shared" si="36"/>
        <v>0</v>
      </c>
      <c r="U103" s="55">
        <f t="shared" si="36"/>
        <v>0</v>
      </c>
      <c r="V103" s="55">
        <f t="shared" si="36"/>
        <v>0</v>
      </c>
      <c r="W103" s="55">
        <f t="shared" si="36"/>
        <v>0</v>
      </c>
      <c r="X103" s="55">
        <f t="shared" si="36"/>
        <v>0</v>
      </c>
      <c r="Y103" s="55">
        <f t="shared" si="36"/>
        <v>0</v>
      </c>
      <c r="Z103" s="55">
        <f t="shared" si="36"/>
        <v>0</v>
      </c>
      <c r="AA103" s="55">
        <f t="shared" si="36"/>
        <v>0</v>
      </c>
      <c r="AB103" s="55">
        <f t="shared" si="36"/>
        <v>0</v>
      </c>
      <c r="AC103" s="55">
        <f t="shared" si="36"/>
        <v>0</v>
      </c>
      <c r="AD103" s="55">
        <f t="shared" si="36"/>
        <v>0</v>
      </c>
      <c r="AE103" s="55">
        <f t="shared" si="36"/>
        <v>0</v>
      </c>
      <c r="AF103" s="55">
        <f t="shared" si="36"/>
        <v>0</v>
      </c>
      <c r="AG103" s="55">
        <f t="shared" si="36"/>
        <v>0</v>
      </c>
      <c r="AH103" s="55">
        <f t="shared" si="36"/>
        <v>0</v>
      </c>
      <c r="AI103" s="55">
        <f t="shared" si="36"/>
        <v>0</v>
      </c>
      <c r="AJ103" s="55">
        <f t="shared" si="36"/>
        <v>0</v>
      </c>
      <c r="AK103" s="55">
        <f t="shared" si="36"/>
        <v>0</v>
      </c>
      <c r="AL103" s="55">
        <f t="shared" si="36"/>
        <v>0</v>
      </c>
      <c r="AM103" s="55">
        <f t="shared" si="36"/>
        <v>0</v>
      </c>
      <c r="AN103" s="55">
        <f t="shared" si="36"/>
        <v>0</v>
      </c>
      <c r="AO103" s="55">
        <f t="shared" si="36"/>
        <v>0</v>
      </c>
      <c r="AP103" s="55">
        <f t="shared" si="36"/>
        <v>0</v>
      </c>
      <c r="AQ103" s="55">
        <f t="shared" ref="AQ103" si="37">IF($C101="",0,IF(AND(AQ101=$C101,AQ102=$C102),5,IF(OR(AND(AQ101-AQ102&gt;0,$C101-$C102&gt;0),AND(AQ102-AQ101&gt;0,$C102-$C101&gt;0),AND(AQ101-AQ102=0,$C101-$C102=0)),2,0)+IF(OR(AQ101=$C101,AQ102=$C102),1,0)))</f>
        <v>0</v>
      </c>
      <c r="AR103" s="55">
        <f t="shared" si="36"/>
        <v>0</v>
      </c>
      <c r="AS103" s="55">
        <f t="shared" si="36"/>
        <v>0</v>
      </c>
      <c r="AT103" s="55">
        <f t="shared" si="36"/>
        <v>0</v>
      </c>
      <c r="AU103" s="55">
        <f t="shared" si="36"/>
        <v>0</v>
      </c>
      <c r="AV103" s="55">
        <f t="shared" si="36"/>
        <v>0</v>
      </c>
      <c r="AW103" s="55">
        <f t="shared" si="36"/>
        <v>0</v>
      </c>
      <c r="AX103" s="55">
        <f t="shared" si="36"/>
        <v>0</v>
      </c>
      <c r="AY103" s="55">
        <f t="shared" si="36"/>
        <v>0</v>
      </c>
      <c r="AZ103" s="55">
        <f t="shared" si="36"/>
        <v>0</v>
      </c>
      <c r="BA103" s="55">
        <f t="shared" si="36"/>
        <v>0</v>
      </c>
      <c r="BB103" s="55">
        <f t="shared" si="36"/>
        <v>0</v>
      </c>
      <c r="BC103" s="55">
        <f t="shared" si="36"/>
        <v>0</v>
      </c>
      <c r="BD103" s="55">
        <f t="shared" si="36"/>
        <v>0</v>
      </c>
      <c r="BE103" s="55">
        <f t="shared" si="36"/>
        <v>0</v>
      </c>
      <c r="BF103" s="55">
        <f t="shared" si="36"/>
        <v>0</v>
      </c>
      <c r="BG103" s="55">
        <f t="shared" si="36"/>
        <v>0</v>
      </c>
      <c r="BH103" s="55">
        <f t="shared" si="36"/>
        <v>0</v>
      </c>
      <c r="BI103" s="55">
        <f t="shared" si="36"/>
        <v>0</v>
      </c>
      <c r="BJ103" s="55">
        <f t="shared" si="36"/>
        <v>0</v>
      </c>
    </row>
    <row r="104" spans="1:62" ht="15.75" customHeight="1" x14ac:dyDescent="0.25">
      <c r="A104" s="62"/>
      <c r="B104" s="19">
        <v>0.70833333333333337</v>
      </c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</row>
    <row r="105" spans="1:62" ht="15.75" customHeight="1" x14ac:dyDescent="0.25">
      <c r="A105" s="23"/>
    </row>
    <row r="106" spans="1:62" ht="22.5" customHeight="1" x14ac:dyDescent="0.25">
      <c r="A106" s="61">
        <v>50</v>
      </c>
      <c r="B106" s="14" t="s">
        <v>77</v>
      </c>
      <c r="C106" s="15"/>
      <c r="D106" s="16">
        <v>3</v>
      </c>
      <c r="E106" s="16">
        <v>3</v>
      </c>
      <c r="F106" s="16">
        <v>1</v>
      </c>
      <c r="G106" s="17">
        <v>4</v>
      </c>
      <c r="H106" s="16">
        <v>3</v>
      </c>
      <c r="I106" s="16">
        <v>4</v>
      </c>
      <c r="J106" s="16">
        <v>2</v>
      </c>
      <c r="K106" s="16">
        <v>3</v>
      </c>
      <c r="L106" s="16">
        <v>3</v>
      </c>
      <c r="M106" s="16">
        <v>3</v>
      </c>
      <c r="N106" s="16">
        <v>3</v>
      </c>
      <c r="O106" s="16">
        <v>2</v>
      </c>
      <c r="P106" s="16">
        <v>2</v>
      </c>
      <c r="Q106" s="16">
        <v>4</v>
      </c>
      <c r="R106" s="17">
        <v>3</v>
      </c>
      <c r="S106" s="16">
        <v>3</v>
      </c>
      <c r="T106" s="16">
        <v>2</v>
      </c>
      <c r="U106" s="16">
        <v>4</v>
      </c>
      <c r="V106" s="16">
        <v>2</v>
      </c>
      <c r="W106" s="16">
        <v>3</v>
      </c>
      <c r="X106" s="16">
        <v>3</v>
      </c>
      <c r="Y106" s="16">
        <v>3</v>
      </c>
      <c r="Z106" s="16">
        <v>2</v>
      </c>
      <c r="AA106" s="17">
        <v>2</v>
      </c>
      <c r="AB106" s="16">
        <v>2</v>
      </c>
      <c r="AC106" s="16">
        <v>3</v>
      </c>
      <c r="AD106" s="17">
        <v>1</v>
      </c>
      <c r="AE106" s="17">
        <v>2</v>
      </c>
      <c r="AF106" s="17">
        <v>2</v>
      </c>
      <c r="AG106" s="16">
        <v>2</v>
      </c>
      <c r="AH106" s="16">
        <v>2</v>
      </c>
      <c r="AI106" s="17">
        <v>4</v>
      </c>
      <c r="AJ106" s="16">
        <v>5</v>
      </c>
      <c r="AK106" s="16">
        <v>2</v>
      </c>
      <c r="AL106" s="16">
        <v>2</v>
      </c>
      <c r="AM106" s="16">
        <v>2</v>
      </c>
      <c r="AN106" s="16">
        <v>2</v>
      </c>
      <c r="AO106" s="16">
        <v>4</v>
      </c>
      <c r="AP106" s="17">
        <v>2</v>
      </c>
      <c r="AQ106" s="16">
        <v>3</v>
      </c>
      <c r="AR106" s="17">
        <v>3</v>
      </c>
      <c r="AS106" s="17">
        <v>3</v>
      </c>
      <c r="AT106" s="16">
        <v>2</v>
      </c>
      <c r="AU106" s="17">
        <v>2</v>
      </c>
      <c r="AV106" s="16">
        <v>3</v>
      </c>
      <c r="AW106" s="16">
        <v>3</v>
      </c>
      <c r="AX106" s="16">
        <v>2</v>
      </c>
      <c r="AY106" s="16">
        <v>3</v>
      </c>
      <c r="AZ106" s="16">
        <v>3</v>
      </c>
      <c r="BA106" s="16">
        <v>4</v>
      </c>
      <c r="BB106" s="16">
        <v>3</v>
      </c>
      <c r="BC106" s="17">
        <v>2</v>
      </c>
      <c r="BD106" s="16">
        <v>2</v>
      </c>
      <c r="BE106" s="17">
        <v>1</v>
      </c>
      <c r="BF106" s="17">
        <v>3</v>
      </c>
      <c r="BG106" s="16">
        <v>2</v>
      </c>
      <c r="BH106" s="17">
        <v>3</v>
      </c>
      <c r="BI106" s="16">
        <v>2</v>
      </c>
      <c r="BJ106" s="16">
        <v>2</v>
      </c>
    </row>
    <row r="107" spans="1:62" ht="20.25" customHeight="1" x14ac:dyDescent="0.25">
      <c r="A107" s="62"/>
      <c r="B107" s="14" t="s">
        <v>78</v>
      </c>
      <c r="C107" s="15"/>
      <c r="D107" s="16">
        <v>0</v>
      </c>
      <c r="E107" s="16">
        <v>1</v>
      </c>
      <c r="F107" s="16">
        <v>0</v>
      </c>
      <c r="G107" s="17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</v>
      </c>
      <c r="Q107" s="16">
        <v>1</v>
      </c>
      <c r="R107" s="17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1</v>
      </c>
      <c r="X107" s="16">
        <v>0</v>
      </c>
      <c r="Y107" s="16">
        <v>0</v>
      </c>
      <c r="Z107" s="16">
        <v>1</v>
      </c>
      <c r="AA107" s="17">
        <v>0</v>
      </c>
      <c r="AB107" s="16">
        <v>0</v>
      </c>
      <c r="AC107" s="16">
        <v>0</v>
      </c>
      <c r="AD107" s="17">
        <v>1</v>
      </c>
      <c r="AE107" s="17">
        <v>0</v>
      </c>
      <c r="AF107" s="17">
        <v>0</v>
      </c>
      <c r="AG107" s="16">
        <v>0</v>
      </c>
      <c r="AH107" s="16">
        <v>0</v>
      </c>
      <c r="AI107" s="17">
        <v>1</v>
      </c>
      <c r="AJ107" s="16">
        <v>0</v>
      </c>
      <c r="AK107" s="16">
        <v>0</v>
      </c>
      <c r="AL107" s="16">
        <v>2</v>
      </c>
      <c r="AM107" s="16">
        <v>2</v>
      </c>
      <c r="AN107" s="16">
        <v>0</v>
      </c>
      <c r="AO107" s="16">
        <v>1</v>
      </c>
      <c r="AP107" s="17">
        <v>0</v>
      </c>
      <c r="AQ107" s="16">
        <v>0</v>
      </c>
      <c r="AR107" s="17">
        <v>0</v>
      </c>
      <c r="AS107" s="17">
        <v>1</v>
      </c>
      <c r="AT107" s="16">
        <v>0</v>
      </c>
      <c r="AU107" s="17">
        <v>0</v>
      </c>
      <c r="AV107" s="16">
        <v>1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7">
        <v>0</v>
      </c>
      <c r="BD107" s="16">
        <v>0</v>
      </c>
      <c r="BE107" s="17">
        <v>0</v>
      </c>
      <c r="BF107" s="17">
        <v>0</v>
      </c>
      <c r="BG107" s="16">
        <v>1</v>
      </c>
      <c r="BH107" s="17">
        <v>0</v>
      </c>
      <c r="BI107" s="16">
        <v>0</v>
      </c>
      <c r="BJ107" s="16">
        <v>1</v>
      </c>
    </row>
    <row r="108" spans="1:62" ht="15.75" customHeight="1" x14ac:dyDescent="0.25">
      <c r="A108" s="62"/>
      <c r="B108" s="18">
        <v>46197</v>
      </c>
      <c r="C108" s="60" t="s">
        <v>65</v>
      </c>
      <c r="D108" s="55">
        <f t="shared" ref="D108:BJ108" si="38">IF($C106="",0,IF(AND(D106=$C106,D107=$C107),5,IF(OR(AND(D106-D107&gt;0,$C106-$C107&gt;0),AND(D107-D106&gt;0,$C107-$C106&gt;0),AND(D106-D107=0,$C106-$C107=0)),2,0)+IF(OR(D106=$C106,D107=$C107),1,0)))</f>
        <v>0</v>
      </c>
      <c r="E108" s="55">
        <f t="shared" si="38"/>
        <v>0</v>
      </c>
      <c r="F108" s="55">
        <f t="shared" si="38"/>
        <v>0</v>
      </c>
      <c r="G108" s="55">
        <f t="shared" si="38"/>
        <v>0</v>
      </c>
      <c r="H108" s="55">
        <f t="shared" si="38"/>
        <v>0</v>
      </c>
      <c r="I108" s="55">
        <f t="shared" si="38"/>
        <v>0</v>
      </c>
      <c r="J108" s="55">
        <f t="shared" si="38"/>
        <v>0</v>
      </c>
      <c r="K108" s="55">
        <f t="shared" si="38"/>
        <v>0</v>
      </c>
      <c r="L108" s="55">
        <f t="shared" si="38"/>
        <v>0</v>
      </c>
      <c r="M108" s="55">
        <f t="shared" si="38"/>
        <v>0</v>
      </c>
      <c r="N108" s="55">
        <f t="shared" si="38"/>
        <v>0</v>
      </c>
      <c r="O108" s="55">
        <f t="shared" si="38"/>
        <v>0</v>
      </c>
      <c r="P108" s="55">
        <f t="shared" si="38"/>
        <v>0</v>
      </c>
      <c r="Q108" s="55">
        <f t="shared" si="38"/>
        <v>0</v>
      </c>
      <c r="R108" s="55">
        <f t="shared" si="38"/>
        <v>0</v>
      </c>
      <c r="S108" s="55">
        <f t="shared" si="38"/>
        <v>0</v>
      </c>
      <c r="T108" s="55">
        <f t="shared" si="38"/>
        <v>0</v>
      </c>
      <c r="U108" s="55">
        <f t="shared" si="38"/>
        <v>0</v>
      </c>
      <c r="V108" s="55">
        <f t="shared" si="38"/>
        <v>0</v>
      </c>
      <c r="W108" s="55">
        <f t="shared" si="38"/>
        <v>0</v>
      </c>
      <c r="X108" s="55">
        <f t="shared" si="38"/>
        <v>0</v>
      </c>
      <c r="Y108" s="55">
        <f t="shared" si="38"/>
        <v>0</v>
      </c>
      <c r="Z108" s="55">
        <f t="shared" si="38"/>
        <v>0</v>
      </c>
      <c r="AA108" s="55">
        <f t="shared" si="38"/>
        <v>0</v>
      </c>
      <c r="AB108" s="55">
        <f t="shared" si="38"/>
        <v>0</v>
      </c>
      <c r="AC108" s="55">
        <f t="shared" si="38"/>
        <v>0</v>
      </c>
      <c r="AD108" s="55">
        <f t="shared" si="38"/>
        <v>0</v>
      </c>
      <c r="AE108" s="55">
        <f t="shared" si="38"/>
        <v>0</v>
      </c>
      <c r="AF108" s="55">
        <f t="shared" si="38"/>
        <v>0</v>
      </c>
      <c r="AG108" s="55">
        <f t="shared" si="38"/>
        <v>0</v>
      </c>
      <c r="AH108" s="55">
        <f t="shared" si="38"/>
        <v>0</v>
      </c>
      <c r="AI108" s="55">
        <f t="shared" si="38"/>
        <v>0</v>
      </c>
      <c r="AJ108" s="55">
        <f t="shared" si="38"/>
        <v>0</v>
      </c>
      <c r="AK108" s="55">
        <f t="shared" si="38"/>
        <v>0</v>
      </c>
      <c r="AL108" s="55">
        <f t="shared" si="38"/>
        <v>0</v>
      </c>
      <c r="AM108" s="55">
        <f t="shared" si="38"/>
        <v>0</v>
      </c>
      <c r="AN108" s="55">
        <f t="shared" si="38"/>
        <v>0</v>
      </c>
      <c r="AO108" s="55">
        <f t="shared" si="38"/>
        <v>0</v>
      </c>
      <c r="AP108" s="55">
        <f t="shared" si="38"/>
        <v>0</v>
      </c>
      <c r="AQ108" s="55">
        <f t="shared" ref="AQ108" si="39">IF($C106="",0,IF(AND(AQ106=$C106,AQ107=$C107),5,IF(OR(AND(AQ106-AQ107&gt;0,$C106-$C107&gt;0),AND(AQ107-AQ106&gt;0,$C107-$C106&gt;0),AND(AQ106-AQ107=0,$C106-$C107=0)),2,0)+IF(OR(AQ106=$C106,AQ107=$C107),1,0)))</f>
        <v>0</v>
      </c>
      <c r="AR108" s="55">
        <f t="shared" si="38"/>
        <v>0</v>
      </c>
      <c r="AS108" s="55">
        <f t="shared" si="38"/>
        <v>0</v>
      </c>
      <c r="AT108" s="55">
        <f t="shared" si="38"/>
        <v>0</v>
      </c>
      <c r="AU108" s="55">
        <f t="shared" si="38"/>
        <v>0</v>
      </c>
      <c r="AV108" s="55">
        <f t="shared" si="38"/>
        <v>0</v>
      </c>
      <c r="AW108" s="55">
        <f t="shared" si="38"/>
        <v>0</v>
      </c>
      <c r="AX108" s="55">
        <f t="shared" si="38"/>
        <v>0</v>
      </c>
      <c r="AY108" s="55">
        <f t="shared" si="38"/>
        <v>0</v>
      </c>
      <c r="AZ108" s="55">
        <f t="shared" si="38"/>
        <v>0</v>
      </c>
      <c r="BA108" s="55">
        <f t="shared" si="38"/>
        <v>0</v>
      </c>
      <c r="BB108" s="55">
        <f t="shared" si="38"/>
        <v>0</v>
      </c>
      <c r="BC108" s="55">
        <f t="shared" si="38"/>
        <v>0</v>
      </c>
      <c r="BD108" s="55">
        <f t="shared" si="38"/>
        <v>0</v>
      </c>
      <c r="BE108" s="55">
        <f t="shared" si="38"/>
        <v>0</v>
      </c>
      <c r="BF108" s="55">
        <f t="shared" si="38"/>
        <v>0</v>
      </c>
      <c r="BG108" s="55">
        <f t="shared" si="38"/>
        <v>0</v>
      </c>
      <c r="BH108" s="55">
        <f t="shared" si="38"/>
        <v>0</v>
      </c>
      <c r="BI108" s="55">
        <f t="shared" si="38"/>
        <v>0</v>
      </c>
      <c r="BJ108" s="55">
        <f t="shared" si="38"/>
        <v>0</v>
      </c>
    </row>
    <row r="109" spans="1:62" ht="15.75" customHeight="1" x14ac:dyDescent="0.25">
      <c r="A109" s="62"/>
      <c r="B109" s="19">
        <v>0.70833333333333337</v>
      </c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</row>
    <row r="110" spans="1:62" ht="15.75" customHeight="1" x14ac:dyDescent="0.25"/>
    <row r="111" spans="1:62" ht="15.75" customHeight="1" x14ac:dyDescent="0.25"/>
    <row r="112" spans="1:62" ht="15.75" customHeight="1" x14ac:dyDescent="0.25"/>
    <row r="113" spans="1:62" ht="38.25" customHeight="1" x14ac:dyDescent="0.25">
      <c r="A113" s="57" t="s">
        <v>80</v>
      </c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9"/>
    </row>
    <row r="114" spans="1:62" ht="15.75" customHeight="1" x14ac:dyDescent="0.25">
      <c r="A114" s="2"/>
      <c r="B114" s="2"/>
      <c r="C114" s="2"/>
      <c r="D114" s="2"/>
      <c r="E114" s="2"/>
      <c r="F114" s="2"/>
      <c r="G114" s="2"/>
      <c r="H114" s="3"/>
      <c r="I114" s="3"/>
      <c r="J114" s="3"/>
    </row>
    <row r="115" spans="1:62" ht="15.75" customHeight="1" x14ac:dyDescent="0.25">
      <c r="A115" s="4"/>
      <c r="B115" s="5"/>
      <c r="C115" s="6"/>
      <c r="D115" s="7">
        <v>1</v>
      </c>
      <c r="E115" s="7">
        <v>2</v>
      </c>
      <c r="F115" s="7">
        <v>3</v>
      </c>
      <c r="G115" s="7">
        <v>4</v>
      </c>
      <c r="H115" s="7">
        <v>5</v>
      </c>
      <c r="I115" s="7">
        <v>6</v>
      </c>
      <c r="J115" s="7">
        <v>7</v>
      </c>
      <c r="K115" s="7">
        <v>8</v>
      </c>
      <c r="L115" s="7">
        <v>9</v>
      </c>
      <c r="M115" s="7">
        <v>10</v>
      </c>
      <c r="N115" s="7">
        <v>11</v>
      </c>
      <c r="O115" s="7">
        <v>13</v>
      </c>
      <c r="P115" s="7">
        <v>14</v>
      </c>
      <c r="Q115" s="7">
        <v>15</v>
      </c>
      <c r="R115" s="7">
        <v>16</v>
      </c>
      <c r="S115" s="7">
        <v>17</v>
      </c>
      <c r="T115" s="7">
        <v>18</v>
      </c>
      <c r="U115" s="7">
        <v>19</v>
      </c>
      <c r="V115" s="7">
        <v>20</v>
      </c>
      <c r="W115" s="7">
        <v>21</v>
      </c>
      <c r="X115" s="7">
        <v>22</v>
      </c>
      <c r="Y115" s="7">
        <v>24</v>
      </c>
      <c r="Z115" s="7">
        <v>25</v>
      </c>
      <c r="AA115" s="7">
        <v>26</v>
      </c>
      <c r="AB115" s="7">
        <v>27</v>
      </c>
      <c r="AC115" s="7">
        <v>29</v>
      </c>
      <c r="AD115" s="7">
        <v>30</v>
      </c>
      <c r="AE115" s="7">
        <v>32</v>
      </c>
      <c r="AF115" s="7">
        <v>33</v>
      </c>
      <c r="AG115" s="7">
        <v>34</v>
      </c>
      <c r="AH115" s="7">
        <v>35</v>
      </c>
      <c r="AI115" s="7">
        <v>36</v>
      </c>
      <c r="AJ115" s="7">
        <v>37</v>
      </c>
      <c r="AK115" s="7">
        <v>38</v>
      </c>
      <c r="AL115" s="7">
        <v>39</v>
      </c>
      <c r="AM115" s="7">
        <v>40</v>
      </c>
      <c r="AN115" s="7">
        <v>41</v>
      </c>
      <c r="AO115" s="7">
        <v>42</v>
      </c>
      <c r="AP115" s="7">
        <v>44</v>
      </c>
      <c r="AQ115" s="7">
        <v>67</v>
      </c>
      <c r="AR115" s="7">
        <v>48</v>
      </c>
      <c r="AS115" s="7">
        <v>49</v>
      </c>
      <c r="AT115" s="7">
        <v>51</v>
      </c>
      <c r="AU115" s="7">
        <v>52</v>
      </c>
      <c r="AV115" s="7">
        <v>53</v>
      </c>
      <c r="AW115" s="7">
        <v>54</v>
      </c>
      <c r="AX115" s="7">
        <v>55</v>
      </c>
      <c r="AY115" s="7">
        <v>56</v>
      </c>
      <c r="AZ115" s="7">
        <v>57</v>
      </c>
      <c r="BA115" s="7">
        <v>58</v>
      </c>
      <c r="BB115" s="7">
        <v>59</v>
      </c>
      <c r="BC115" s="7">
        <v>60</v>
      </c>
      <c r="BD115" s="7">
        <v>61</v>
      </c>
      <c r="BE115" s="7">
        <v>62</v>
      </c>
      <c r="BF115" s="7">
        <v>63</v>
      </c>
      <c r="BG115" s="7">
        <v>64</v>
      </c>
      <c r="BH115" s="7">
        <v>65</v>
      </c>
      <c r="BI115" s="7">
        <v>66</v>
      </c>
      <c r="BJ115" s="7">
        <v>67</v>
      </c>
    </row>
    <row r="116" spans="1:62" ht="185.25" customHeight="1" x14ac:dyDescent="0.25">
      <c r="A116" s="8"/>
      <c r="B116" s="9" t="s">
        <v>3</v>
      </c>
      <c r="C116" s="10" t="s">
        <v>4</v>
      </c>
      <c r="D116" s="11" t="str">
        <f t="shared" ref="D116:AS116" si="40">D8</f>
        <v>Julian Uribe</v>
      </c>
      <c r="E116" s="11" t="str">
        <f t="shared" si="40"/>
        <v>Yulian Sanchez</v>
      </c>
      <c r="F116" s="11" t="str">
        <f t="shared" si="40"/>
        <v>Francisco Moreno</v>
      </c>
      <c r="G116" s="11" t="str">
        <f t="shared" si="40"/>
        <v>Mauricio Guerrero</v>
      </c>
      <c r="H116" s="11" t="str">
        <f t="shared" si="40"/>
        <v>Gustavo Guerrero</v>
      </c>
      <c r="I116" s="11" t="str">
        <f t="shared" si="40"/>
        <v>Gerardo Martinez</v>
      </c>
      <c r="J116" s="11" t="str">
        <f t="shared" si="40"/>
        <v>Nora Perez</v>
      </c>
      <c r="K116" s="11" t="str">
        <f t="shared" si="40"/>
        <v>Laura Rodriguez</v>
      </c>
      <c r="L116" s="11" t="str">
        <f t="shared" si="40"/>
        <v>Jhoana Moreno</v>
      </c>
      <c r="M116" s="11" t="str">
        <f t="shared" si="40"/>
        <v xml:space="preserve">Yoselin Salinas </v>
      </c>
      <c r="N116" s="11" t="str">
        <f t="shared" si="40"/>
        <v>Luis Diaz</v>
      </c>
      <c r="O116" s="11" t="str">
        <f t="shared" si="40"/>
        <v>Diela del Carmen</v>
      </c>
      <c r="P116" s="11" t="str">
        <f t="shared" si="40"/>
        <v>Paola Agredo</v>
      </c>
      <c r="Q116" s="11" t="str">
        <f t="shared" si="40"/>
        <v>Oscar Suarez</v>
      </c>
      <c r="R116" s="11" t="str">
        <f t="shared" si="40"/>
        <v>Paulo Figueroa</v>
      </c>
      <c r="S116" s="11" t="str">
        <f t="shared" si="40"/>
        <v xml:space="preserve">Jean Piere </v>
      </c>
      <c r="T116" s="11" t="str">
        <f t="shared" si="40"/>
        <v>David Diaz</v>
      </c>
      <c r="U116" s="11" t="str">
        <f t="shared" si="40"/>
        <v xml:space="preserve">Christian Giraldo </v>
      </c>
      <c r="V116" s="11" t="str">
        <f t="shared" si="40"/>
        <v>Viviana Hurtado</v>
      </c>
      <c r="W116" s="11" t="str">
        <f t="shared" si="40"/>
        <v>James Chavez Ocampo</v>
      </c>
      <c r="X116" s="11" t="str">
        <f t="shared" si="40"/>
        <v>Luis Felipe Sanchez</v>
      </c>
      <c r="Y116" s="11" t="str">
        <f t="shared" si="40"/>
        <v>Laura Ossa</v>
      </c>
      <c r="Z116" s="11" t="str">
        <f t="shared" si="40"/>
        <v>Elizabeth Montealegre</v>
      </c>
      <c r="AA116" s="11" t="str">
        <f t="shared" si="40"/>
        <v>Liliana Montealegre</v>
      </c>
      <c r="AB116" s="11" t="str">
        <f t="shared" si="40"/>
        <v>Javier Andres Gomez</v>
      </c>
      <c r="AC116" s="11" t="str">
        <f t="shared" si="40"/>
        <v>Diana Carolina Marin</v>
      </c>
      <c r="AD116" s="11" t="str">
        <f t="shared" si="40"/>
        <v>Diego Fernando Saavedra</v>
      </c>
      <c r="AE116" s="11" t="str">
        <f t="shared" si="40"/>
        <v>Oscar Mayor</v>
      </c>
      <c r="AF116" s="11" t="str">
        <f t="shared" si="40"/>
        <v>Ingrid Toro</v>
      </c>
      <c r="AG116" s="11" t="str">
        <f t="shared" si="40"/>
        <v>Ana Marcela Castro</v>
      </c>
      <c r="AH116" s="11" t="str">
        <f t="shared" si="40"/>
        <v>Ricardo Gutierrez</v>
      </c>
      <c r="AI116" s="11" t="str">
        <f t="shared" si="40"/>
        <v>Natalia Navarro</v>
      </c>
      <c r="AJ116" s="11" t="str">
        <f t="shared" si="40"/>
        <v>Diana Perez</v>
      </c>
      <c r="AK116" s="11" t="str">
        <f t="shared" si="40"/>
        <v>Sergio Diaz</v>
      </c>
      <c r="AL116" s="11" t="str">
        <f t="shared" si="40"/>
        <v>William Oviedo</v>
      </c>
      <c r="AM116" s="11" t="str">
        <f t="shared" si="40"/>
        <v>Armando Orjuela</v>
      </c>
      <c r="AN116" s="11" t="str">
        <f t="shared" si="40"/>
        <v xml:space="preserve">Helen Muñoz </v>
      </c>
      <c r="AO116" s="11" t="str">
        <f t="shared" si="40"/>
        <v>Julieth Cruz - Luiz Diaz</v>
      </c>
      <c r="AP116" s="11" t="str">
        <f t="shared" si="40"/>
        <v>Jose Luis Montoya</v>
      </c>
      <c r="AQ116" s="11" t="str">
        <f t="shared" si="40"/>
        <v>Julian Useche</v>
      </c>
      <c r="AR116" s="11" t="str">
        <f t="shared" si="40"/>
        <v>Sebastian Posada</v>
      </c>
      <c r="AS116" s="11" t="str">
        <f t="shared" si="40"/>
        <v>Juan Cifuentes</v>
      </c>
      <c r="AT116" s="11" t="s">
        <v>46</v>
      </c>
      <c r="AU116" s="11" t="s">
        <v>47</v>
      </c>
      <c r="AV116" s="11" t="str">
        <f t="shared" ref="AV116:BJ116" si="41">AV8</f>
        <v>Lewhis Spirth Montaño</v>
      </c>
      <c r="AW116" s="11" t="str">
        <f t="shared" si="41"/>
        <v>Sebastian Castro Luna</v>
      </c>
      <c r="AX116" s="11" t="str">
        <f t="shared" si="41"/>
        <v>Francia Orozco</v>
      </c>
      <c r="AY116" s="11" t="str">
        <f t="shared" si="41"/>
        <v>Fredy Rojas</v>
      </c>
      <c r="AZ116" s="11" t="str">
        <f t="shared" si="41"/>
        <v>John Quiñonez</v>
      </c>
      <c r="BA116" s="11" t="str">
        <f t="shared" si="41"/>
        <v>Yuli Guzman</v>
      </c>
      <c r="BB116" s="11" t="str">
        <f t="shared" si="41"/>
        <v>Luis Alfredo Plaza</v>
      </c>
      <c r="BC116" s="11" t="str">
        <f t="shared" si="41"/>
        <v>Naty Bermudez</v>
      </c>
      <c r="BD116" s="11" t="str">
        <f t="shared" si="41"/>
        <v>Edgar Ivan Giraldo Duran</v>
      </c>
      <c r="BE116" s="11" t="str">
        <f t="shared" si="41"/>
        <v>Caterine Filigrana</v>
      </c>
      <c r="BF116" s="11" t="str">
        <f t="shared" si="41"/>
        <v>Adriana Belalcazar</v>
      </c>
      <c r="BG116" s="11" t="str">
        <f t="shared" si="41"/>
        <v>Angelisa Hurtado</v>
      </c>
      <c r="BH116" s="11" t="str">
        <f t="shared" si="41"/>
        <v>Isabela Muñoz</v>
      </c>
      <c r="BI116" s="11" t="str">
        <f t="shared" si="41"/>
        <v>Francisco Moreno Alvarez</v>
      </c>
      <c r="BJ116" s="11" t="str">
        <f t="shared" si="41"/>
        <v>Angelica Maria Panesso</v>
      </c>
    </row>
    <row r="117" spans="1:62" ht="20.25" customHeight="1" x14ac:dyDescent="0.25">
      <c r="A117" s="61">
        <v>4</v>
      </c>
      <c r="B117" s="14" t="s">
        <v>81</v>
      </c>
      <c r="C117" s="15"/>
      <c r="D117" s="16">
        <v>0</v>
      </c>
      <c r="E117" s="16">
        <v>2</v>
      </c>
      <c r="F117" s="16">
        <v>1</v>
      </c>
      <c r="G117" s="17">
        <v>1</v>
      </c>
      <c r="H117" s="16">
        <v>2</v>
      </c>
      <c r="I117" s="16">
        <v>2</v>
      </c>
      <c r="J117" s="16">
        <v>2</v>
      </c>
      <c r="K117" s="16">
        <v>2</v>
      </c>
      <c r="L117" s="16">
        <v>1</v>
      </c>
      <c r="M117" s="16">
        <v>2</v>
      </c>
      <c r="N117" s="16">
        <v>1</v>
      </c>
      <c r="O117" s="16">
        <v>2</v>
      </c>
      <c r="P117" s="16">
        <v>1</v>
      </c>
      <c r="Q117" s="16">
        <v>2</v>
      </c>
      <c r="R117" s="17">
        <v>0</v>
      </c>
      <c r="S117" s="16">
        <v>2</v>
      </c>
      <c r="T117" s="16">
        <v>1</v>
      </c>
      <c r="U117" s="16">
        <v>1</v>
      </c>
      <c r="V117" s="16">
        <v>2</v>
      </c>
      <c r="W117" s="16">
        <v>1</v>
      </c>
      <c r="X117" s="16">
        <v>2</v>
      </c>
      <c r="Y117" s="16">
        <v>2</v>
      </c>
      <c r="Z117" s="16">
        <v>2</v>
      </c>
      <c r="AA117" s="17">
        <v>2</v>
      </c>
      <c r="AB117" s="16">
        <v>1</v>
      </c>
      <c r="AC117" s="16">
        <v>2</v>
      </c>
      <c r="AD117" s="17">
        <v>1</v>
      </c>
      <c r="AE117" s="17">
        <v>1</v>
      </c>
      <c r="AF117" s="17">
        <v>1</v>
      </c>
      <c r="AG117" s="16">
        <v>2</v>
      </c>
      <c r="AH117" s="16">
        <v>2</v>
      </c>
      <c r="AI117" s="17">
        <v>1</v>
      </c>
      <c r="AJ117" s="16">
        <v>1</v>
      </c>
      <c r="AK117" s="16">
        <v>0</v>
      </c>
      <c r="AL117" s="16">
        <v>2</v>
      </c>
      <c r="AM117" s="16">
        <v>1</v>
      </c>
      <c r="AN117" s="16">
        <v>1</v>
      </c>
      <c r="AO117" s="16">
        <v>2</v>
      </c>
      <c r="AP117" s="17">
        <v>2</v>
      </c>
      <c r="AQ117" s="16">
        <v>2</v>
      </c>
      <c r="AR117" s="17">
        <v>2</v>
      </c>
      <c r="AS117" s="17">
        <v>0</v>
      </c>
      <c r="AT117" s="16">
        <v>0</v>
      </c>
      <c r="AU117" s="17">
        <v>1</v>
      </c>
      <c r="AV117" s="16">
        <v>2</v>
      </c>
      <c r="AW117" s="16">
        <v>2</v>
      </c>
      <c r="AX117" s="16">
        <v>2</v>
      </c>
      <c r="AY117" s="16">
        <v>2</v>
      </c>
      <c r="AZ117" s="16">
        <v>2</v>
      </c>
      <c r="BA117" s="16">
        <v>2</v>
      </c>
      <c r="BB117" s="16">
        <v>1</v>
      </c>
      <c r="BC117" s="17">
        <v>2</v>
      </c>
      <c r="BD117" s="16">
        <v>1</v>
      </c>
      <c r="BE117" s="17">
        <v>1</v>
      </c>
      <c r="BF117" s="17">
        <v>0</v>
      </c>
      <c r="BG117" s="16">
        <v>1</v>
      </c>
      <c r="BH117" s="17">
        <v>1</v>
      </c>
      <c r="BI117" s="16">
        <v>2</v>
      </c>
      <c r="BJ117" s="16">
        <v>1</v>
      </c>
    </row>
    <row r="118" spans="1:62" ht="21" customHeight="1" x14ac:dyDescent="0.25">
      <c r="A118" s="62"/>
      <c r="B118" s="14" t="s">
        <v>82</v>
      </c>
      <c r="C118" s="15"/>
      <c r="D118" s="16">
        <v>2</v>
      </c>
      <c r="E118" s="16">
        <v>1</v>
      </c>
      <c r="F118" s="16">
        <v>4</v>
      </c>
      <c r="G118" s="17">
        <v>0</v>
      </c>
      <c r="H118" s="16">
        <v>1</v>
      </c>
      <c r="I118" s="16">
        <v>2</v>
      </c>
      <c r="J118" s="16">
        <v>1</v>
      </c>
      <c r="K118" s="16">
        <v>0</v>
      </c>
      <c r="L118" s="16">
        <v>0</v>
      </c>
      <c r="M118" s="16">
        <v>2</v>
      </c>
      <c r="N118" s="16">
        <v>0</v>
      </c>
      <c r="O118" s="16">
        <v>1</v>
      </c>
      <c r="P118" s="16">
        <v>2</v>
      </c>
      <c r="Q118" s="16">
        <v>1</v>
      </c>
      <c r="R118" s="17">
        <v>2</v>
      </c>
      <c r="S118" s="16">
        <v>1</v>
      </c>
      <c r="T118" s="16">
        <v>0</v>
      </c>
      <c r="U118" s="16">
        <v>0</v>
      </c>
      <c r="V118" s="16">
        <v>1</v>
      </c>
      <c r="W118" s="16">
        <v>1</v>
      </c>
      <c r="X118" s="16">
        <v>1</v>
      </c>
      <c r="Y118" s="16">
        <v>1</v>
      </c>
      <c r="Z118" s="16">
        <v>1</v>
      </c>
      <c r="AA118" s="17">
        <v>2</v>
      </c>
      <c r="AB118" s="16">
        <v>0</v>
      </c>
      <c r="AC118" s="16">
        <v>1</v>
      </c>
      <c r="AD118" s="17">
        <v>1</v>
      </c>
      <c r="AE118" s="17">
        <v>0</v>
      </c>
      <c r="AF118" s="17">
        <v>2</v>
      </c>
      <c r="AG118" s="16">
        <v>1</v>
      </c>
      <c r="AH118" s="16">
        <v>1</v>
      </c>
      <c r="AI118" s="17">
        <v>0</v>
      </c>
      <c r="AJ118" s="16">
        <v>2</v>
      </c>
      <c r="AK118" s="16">
        <v>1</v>
      </c>
      <c r="AL118" s="16">
        <v>1</v>
      </c>
      <c r="AM118" s="16">
        <v>1</v>
      </c>
      <c r="AN118" s="16">
        <v>2</v>
      </c>
      <c r="AO118" s="16">
        <v>1</v>
      </c>
      <c r="AP118" s="17">
        <v>0</v>
      </c>
      <c r="AQ118" s="16">
        <v>1</v>
      </c>
      <c r="AR118" s="17">
        <v>2</v>
      </c>
      <c r="AS118" s="17">
        <v>1</v>
      </c>
      <c r="AT118" s="16">
        <v>2</v>
      </c>
      <c r="AU118" s="17">
        <v>0</v>
      </c>
      <c r="AV118" s="16">
        <v>2</v>
      </c>
      <c r="AW118" s="16">
        <v>1</v>
      </c>
      <c r="AX118" s="16">
        <v>1</v>
      </c>
      <c r="AY118" s="16">
        <v>1</v>
      </c>
      <c r="AZ118" s="16">
        <v>1</v>
      </c>
      <c r="BA118" s="16">
        <v>0</v>
      </c>
      <c r="BB118" s="16">
        <v>2</v>
      </c>
      <c r="BC118" s="17">
        <v>1</v>
      </c>
      <c r="BD118" s="16">
        <v>1</v>
      </c>
      <c r="BE118" s="17">
        <v>2</v>
      </c>
      <c r="BF118" s="17">
        <v>0</v>
      </c>
      <c r="BG118" s="16">
        <v>2</v>
      </c>
      <c r="BH118" s="17">
        <v>1</v>
      </c>
      <c r="BI118" s="16">
        <v>1</v>
      </c>
      <c r="BJ118" s="16">
        <v>1</v>
      </c>
    </row>
    <row r="119" spans="1:62" ht="15.75" customHeight="1" x14ac:dyDescent="0.25">
      <c r="A119" s="62"/>
      <c r="B119" s="18">
        <v>46185</v>
      </c>
      <c r="C119" s="60" t="s">
        <v>65</v>
      </c>
      <c r="D119" s="55">
        <f t="shared" ref="D119:BJ119" si="42">IF($C117="",0,IF(AND(D117=$C117,D118=$C118),5,IF(OR(AND(D117-D118&gt;0,$C117-$C118&gt;0),AND(D118-D117&gt;0,$C118-$C117&gt;0),AND(D117-D118=0,$C117-$C118=0)),2,0)+IF(OR(D117=$C117,D118=$C118),1,0)))</f>
        <v>0</v>
      </c>
      <c r="E119" s="55">
        <f t="shared" si="42"/>
        <v>0</v>
      </c>
      <c r="F119" s="55">
        <f t="shared" si="42"/>
        <v>0</v>
      </c>
      <c r="G119" s="55">
        <f t="shared" si="42"/>
        <v>0</v>
      </c>
      <c r="H119" s="55">
        <f t="shared" si="42"/>
        <v>0</v>
      </c>
      <c r="I119" s="55">
        <f t="shared" si="42"/>
        <v>0</v>
      </c>
      <c r="J119" s="55">
        <f t="shared" si="42"/>
        <v>0</v>
      </c>
      <c r="K119" s="55">
        <f t="shared" si="42"/>
        <v>0</v>
      </c>
      <c r="L119" s="55">
        <f t="shared" si="42"/>
        <v>0</v>
      </c>
      <c r="M119" s="55">
        <f t="shared" si="42"/>
        <v>0</v>
      </c>
      <c r="N119" s="55">
        <f t="shared" si="42"/>
        <v>0</v>
      </c>
      <c r="O119" s="55">
        <f t="shared" si="42"/>
        <v>0</v>
      </c>
      <c r="P119" s="55">
        <f t="shared" si="42"/>
        <v>0</v>
      </c>
      <c r="Q119" s="55">
        <f t="shared" si="42"/>
        <v>0</v>
      </c>
      <c r="R119" s="55">
        <f t="shared" si="42"/>
        <v>0</v>
      </c>
      <c r="S119" s="55">
        <f t="shared" si="42"/>
        <v>0</v>
      </c>
      <c r="T119" s="55">
        <f t="shared" si="42"/>
        <v>0</v>
      </c>
      <c r="U119" s="55">
        <f t="shared" si="42"/>
        <v>0</v>
      </c>
      <c r="V119" s="55">
        <f t="shared" si="42"/>
        <v>0</v>
      </c>
      <c r="W119" s="55">
        <f t="shared" si="42"/>
        <v>0</v>
      </c>
      <c r="X119" s="55">
        <f t="shared" si="42"/>
        <v>0</v>
      </c>
      <c r="Y119" s="55">
        <f t="shared" si="42"/>
        <v>0</v>
      </c>
      <c r="Z119" s="55">
        <f t="shared" si="42"/>
        <v>0</v>
      </c>
      <c r="AA119" s="55">
        <f t="shared" si="42"/>
        <v>0</v>
      </c>
      <c r="AB119" s="55">
        <f t="shared" si="42"/>
        <v>0</v>
      </c>
      <c r="AC119" s="55">
        <f t="shared" si="42"/>
        <v>0</v>
      </c>
      <c r="AD119" s="55">
        <f t="shared" si="42"/>
        <v>0</v>
      </c>
      <c r="AE119" s="55">
        <f t="shared" si="42"/>
        <v>0</v>
      </c>
      <c r="AF119" s="55">
        <f t="shared" si="42"/>
        <v>0</v>
      </c>
      <c r="AG119" s="55">
        <f t="shared" si="42"/>
        <v>0</v>
      </c>
      <c r="AH119" s="55">
        <f t="shared" si="42"/>
        <v>0</v>
      </c>
      <c r="AI119" s="55">
        <f t="shared" si="42"/>
        <v>0</v>
      </c>
      <c r="AJ119" s="55">
        <f t="shared" si="42"/>
        <v>0</v>
      </c>
      <c r="AK119" s="55">
        <f t="shared" si="42"/>
        <v>0</v>
      </c>
      <c r="AL119" s="55">
        <f t="shared" si="42"/>
        <v>0</v>
      </c>
      <c r="AM119" s="55">
        <f t="shared" si="42"/>
        <v>0</v>
      </c>
      <c r="AN119" s="55">
        <f t="shared" si="42"/>
        <v>0</v>
      </c>
      <c r="AO119" s="55">
        <f t="shared" si="42"/>
        <v>0</v>
      </c>
      <c r="AP119" s="55">
        <f t="shared" si="42"/>
        <v>0</v>
      </c>
      <c r="AQ119" s="55">
        <f t="shared" ref="AQ119" si="43">IF($C117="",0,IF(AND(AQ117=$C117,AQ118=$C118),5,IF(OR(AND(AQ117-AQ118&gt;0,$C117-$C118&gt;0),AND(AQ118-AQ117&gt;0,$C118-$C117&gt;0),AND(AQ117-AQ118=0,$C117-$C118=0)),2,0)+IF(OR(AQ117=$C117,AQ118=$C118),1,0)))</f>
        <v>0</v>
      </c>
      <c r="AR119" s="55">
        <f t="shared" si="42"/>
        <v>0</v>
      </c>
      <c r="AS119" s="55">
        <f t="shared" si="42"/>
        <v>0</v>
      </c>
      <c r="AT119" s="55">
        <f t="shared" si="42"/>
        <v>0</v>
      </c>
      <c r="AU119" s="55">
        <f t="shared" si="42"/>
        <v>0</v>
      </c>
      <c r="AV119" s="55">
        <f t="shared" si="42"/>
        <v>0</v>
      </c>
      <c r="AW119" s="55">
        <f t="shared" si="42"/>
        <v>0</v>
      </c>
      <c r="AX119" s="55">
        <f t="shared" si="42"/>
        <v>0</v>
      </c>
      <c r="AY119" s="55">
        <f t="shared" si="42"/>
        <v>0</v>
      </c>
      <c r="AZ119" s="55">
        <f t="shared" si="42"/>
        <v>0</v>
      </c>
      <c r="BA119" s="55">
        <f t="shared" si="42"/>
        <v>0</v>
      </c>
      <c r="BB119" s="55">
        <f t="shared" si="42"/>
        <v>0</v>
      </c>
      <c r="BC119" s="55">
        <f t="shared" si="42"/>
        <v>0</v>
      </c>
      <c r="BD119" s="55">
        <f t="shared" si="42"/>
        <v>0</v>
      </c>
      <c r="BE119" s="55">
        <f t="shared" si="42"/>
        <v>0</v>
      </c>
      <c r="BF119" s="55">
        <f t="shared" si="42"/>
        <v>0</v>
      </c>
      <c r="BG119" s="55">
        <f t="shared" si="42"/>
        <v>0</v>
      </c>
      <c r="BH119" s="55">
        <f t="shared" si="42"/>
        <v>0</v>
      </c>
      <c r="BI119" s="55">
        <f t="shared" si="42"/>
        <v>0</v>
      </c>
      <c r="BJ119" s="55">
        <f t="shared" si="42"/>
        <v>0</v>
      </c>
    </row>
    <row r="120" spans="1:62" ht="15.75" customHeight="1" x14ac:dyDescent="0.25">
      <c r="A120" s="62"/>
      <c r="B120" s="19">
        <v>0.75</v>
      </c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</row>
    <row r="121" spans="1:62" ht="15.75" customHeight="1" x14ac:dyDescent="0.25">
      <c r="A121" s="13"/>
      <c r="B121" s="13"/>
      <c r="C121" s="13"/>
      <c r="D121" s="2"/>
      <c r="E121" s="2"/>
      <c r="F121" s="2"/>
      <c r="G121" s="2"/>
      <c r="H121" s="3"/>
      <c r="I121" s="3"/>
      <c r="J121" s="3"/>
    </row>
    <row r="122" spans="1:62" ht="21.75" customHeight="1" x14ac:dyDescent="0.25">
      <c r="A122" s="61">
        <v>6</v>
      </c>
      <c r="B122" s="14" t="s">
        <v>83</v>
      </c>
      <c r="C122" s="15"/>
      <c r="D122" s="16">
        <v>1</v>
      </c>
      <c r="E122" s="16">
        <v>1</v>
      </c>
      <c r="F122" s="16">
        <v>2</v>
      </c>
      <c r="G122" s="17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2</v>
      </c>
      <c r="Q122" s="16">
        <v>1</v>
      </c>
      <c r="R122" s="17">
        <v>0</v>
      </c>
      <c r="S122" s="16">
        <v>1</v>
      </c>
      <c r="T122" s="16">
        <v>1</v>
      </c>
      <c r="U122" s="16">
        <v>1</v>
      </c>
      <c r="V122" s="16">
        <v>1</v>
      </c>
      <c r="W122" s="16">
        <v>1</v>
      </c>
      <c r="X122" s="16">
        <v>1</v>
      </c>
      <c r="Y122" s="16">
        <v>1</v>
      </c>
      <c r="Z122" s="16">
        <v>1</v>
      </c>
      <c r="AA122" s="17">
        <v>1</v>
      </c>
      <c r="AB122" s="16">
        <v>1</v>
      </c>
      <c r="AC122" s="16">
        <v>1</v>
      </c>
      <c r="AD122" s="17">
        <v>2</v>
      </c>
      <c r="AE122" s="17">
        <v>1</v>
      </c>
      <c r="AF122" s="17">
        <v>1</v>
      </c>
      <c r="AG122" s="16">
        <v>1</v>
      </c>
      <c r="AH122" s="16">
        <v>1</v>
      </c>
      <c r="AI122" s="17">
        <v>3</v>
      </c>
      <c r="AJ122" s="16">
        <v>2</v>
      </c>
      <c r="AK122" s="16">
        <v>1</v>
      </c>
      <c r="AL122" s="16">
        <v>3</v>
      </c>
      <c r="AM122" s="16">
        <v>2</v>
      </c>
      <c r="AN122" s="16">
        <v>1</v>
      </c>
      <c r="AO122" s="16">
        <v>0</v>
      </c>
      <c r="AP122" s="17">
        <v>1</v>
      </c>
      <c r="AQ122" s="16">
        <v>1</v>
      </c>
      <c r="AR122" s="17">
        <v>1</v>
      </c>
      <c r="AS122" s="17">
        <v>1</v>
      </c>
      <c r="AT122" s="16">
        <v>1</v>
      </c>
      <c r="AU122" s="17">
        <v>0</v>
      </c>
      <c r="AV122" s="16">
        <v>0</v>
      </c>
      <c r="AW122" s="16">
        <v>0</v>
      </c>
      <c r="AX122" s="16">
        <v>1</v>
      </c>
      <c r="AY122" s="16">
        <v>1</v>
      </c>
      <c r="AZ122" s="16">
        <v>1</v>
      </c>
      <c r="BA122" s="16">
        <v>1</v>
      </c>
      <c r="BB122" s="16">
        <v>1</v>
      </c>
      <c r="BC122" s="17">
        <v>1</v>
      </c>
      <c r="BD122" s="16">
        <v>2</v>
      </c>
      <c r="BE122" s="17">
        <v>1</v>
      </c>
      <c r="BF122" s="17">
        <v>1</v>
      </c>
      <c r="BG122" s="16">
        <v>1</v>
      </c>
      <c r="BH122" s="17">
        <v>1</v>
      </c>
      <c r="BI122" s="16">
        <v>3</v>
      </c>
      <c r="BJ122" s="16">
        <v>2</v>
      </c>
    </row>
    <row r="123" spans="1:62" ht="22.5" customHeight="1" x14ac:dyDescent="0.25">
      <c r="A123" s="62"/>
      <c r="B123" s="14" t="s">
        <v>84</v>
      </c>
      <c r="C123" s="15"/>
      <c r="D123" s="16">
        <v>2</v>
      </c>
      <c r="E123" s="16">
        <v>1</v>
      </c>
      <c r="F123" s="16">
        <v>2</v>
      </c>
      <c r="G123" s="17">
        <v>2</v>
      </c>
      <c r="H123" s="16">
        <v>1</v>
      </c>
      <c r="I123" s="16">
        <v>3</v>
      </c>
      <c r="J123" s="16">
        <v>1</v>
      </c>
      <c r="K123" s="16">
        <v>1</v>
      </c>
      <c r="L123" s="16">
        <v>2</v>
      </c>
      <c r="M123" s="16">
        <v>1</v>
      </c>
      <c r="N123" s="16">
        <v>2</v>
      </c>
      <c r="O123" s="16">
        <v>1</v>
      </c>
      <c r="P123" s="16">
        <v>1</v>
      </c>
      <c r="Q123" s="16">
        <v>3</v>
      </c>
      <c r="R123" s="17">
        <v>1</v>
      </c>
      <c r="S123" s="16">
        <v>1</v>
      </c>
      <c r="T123" s="16">
        <v>2</v>
      </c>
      <c r="U123" s="16">
        <v>3</v>
      </c>
      <c r="V123" s="16">
        <v>1</v>
      </c>
      <c r="W123" s="16">
        <v>2</v>
      </c>
      <c r="X123" s="16">
        <v>1</v>
      </c>
      <c r="Y123" s="16">
        <v>2</v>
      </c>
      <c r="Z123" s="16">
        <v>2</v>
      </c>
      <c r="AA123" s="17">
        <v>2</v>
      </c>
      <c r="AB123" s="16">
        <v>1</v>
      </c>
      <c r="AC123" s="16">
        <v>1</v>
      </c>
      <c r="AD123" s="17">
        <v>0</v>
      </c>
      <c r="AE123" s="17">
        <v>2</v>
      </c>
      <c r="AF123" s="17">
        <v>2</v>
      </c>
      <c r="AG123" s="16">
        <v>1</v>
      </c>
      <c r="AH123" s="16">
        <v>2</v>
      </c>
      <c r="AI123" s="17">
        <v>1</v>
      </c>
      <c r="AJ123" s="16">
        <v>0</v>
      </c>
      <c r="AK123" s="16">
        <v>2</v>
      </c>
      <c r="AL123" s="16">
        <v>1</v>
      </c>
      <c r="AM123" s="16">
        <v>1</v>
      </c>
      <c r="AN123" s="16">
        <v>2</v>
      </c>
      <c r="AO123" s="16">
        <v>2</v>
      </c>
      <c r="AP123" s="17">
        <v>2</v>
      </c>
      <c r="AQ123" s="16">
        <v>1</v>
      </c>
      <c r="AR123" s="17">
        <v>2</v>
      </c>
      <c r="AS123" s="17">
        <v>2</v>
      </c>
      <c r="AT123" s="16">
        <v>1</v>
      </c>
      <c r="AU123" s="17">
        <v>1</v>
      </c>
      <c r="AV123" s="16">
        <v>1</v>
      </c>
      <c r="AW123" s="16">
        <v>2</v>
      </c>
      <c r="AX123" s="16">
        <v>1</v>
      </c>
      <c r="AY123" s="16">
        <v>2</v>
      </c>
      <c r="AZ123" s="16">
        <v>1</v>
      </c>
      <c r="BA123" s="16">
        <v>3</v>
      </c>
      <c r="BB123" s="16">
        <v>0</v>
      </c>
      <c r="BC123" s="17">
        <v>1</v>
      </c>
      <c r="BD123" s="16">
        <v>1</v>
      </c>
      <c r="BE123" s="17">
        <v>1</v>
      </c>
      <c r="BF123" s="17">
        <v>2</v>
      </c>
      <c r="BG123" s="16">
        <v>2</v>
      </c>
      <c r="BH123" s="17">
        <v>2</v>
      </c>
      <c r="BI123" s="16">
        <v>2</v>
      </c>
      <c r="BJ123" s="16">
        <v>1</v>
      </c>
    </row>
    <row r="124" spans="1:62" ht="15.75" customHeight="1" x14ac:dyDescent="0.25">
      <c r="A124" s="62"/>
      <c r="B124" s="18">
        <v>46187</v>
      </c>
      <c r="C124" s="60" t="s">
        <v>65</v>
      </c>
      <c r="D124" s="55">
        <f t="shared" ref="D124:BJ124" si="44">IF($C122="",0,IF(AND(D122=$C122,D123=$C123),5,IF(OR(AND(D122-D123&gt;0,$C122-$C123&gt;0),AND(D123-D122&gt;0,$C123-$C122&gt;0),AND(D122-D123=0,$C122-$C123=0)),2,0)+IF(OR(D122=$C122,D123=$C123),1,0)))</f>
        <v>0</v>
      </c>
      <c r="E124" s="55">
        <f t="shared" si="44"/>
        <v>0</v>
      </c>
      <c r="F124" s="55">
        <f t="shared" si="44"/>
        <v>0</v>
      </c>
      <c r="G124" s="55">
        <f t="shared" si="44"/>
        <v>0</v>
      </c>
      <c r="H124" s="55">
        <f t="shared" si="44"/>
        <v>0</v>
      </c>
      <c r="I124" s="55">
        <f t="shared" si="44"/>
        <v>0</v>
      </c>
      <c r="J124" s="55">
        <f t="shared" si="44"/>
        <v>0</v>
      </c>
      <c r="K124" s="55">
        <f t="shared" si="44"/>
        <v>0</v>
      </c>
      <c r="L124" s="55">
        <f t="shared" si="44"/>
        <v>0</v>
      </c>
      <c r="M124" s="55">
        <f t="shared" si="44"/>
        <v>0</v>
      </c>
      <c r="N124" s="55">
        <f t="shared" si="44"/>
        <v>0</v>
      </c>
      <c r="O124" s="55">
        <f t="shared" si="44"/>
        <v>0</v>
      </c>
      <c r="P124" s="55">
        <f t="shared" si="44"/>
        <v>0</v>
      </c>
      <c r="Q124" s="55">
        <f t="shared" si="44"/>
        <v>0</v>
      </c>
      <c r="R124" s="55">
        <f t="shared" si="44"/>
        <v>0</v>
      </c>
      <c r="S124" s="55">
        <f t="shared" si="44"/>
        <v>0</v>
      </c>
      <c r="T124" s="55">
        <f t="shared" si="44"/>
        <v>0</v>
      </c>
      <c r="U124" s="55">
        <f t="shared" si="44"/>
        <v>0</v>
      </c>
      <c r="V124" s="55">
        <f t="shared" si="44"/>
        <v>0</v>
      </c>
      <c r="W124" s="55">
        <f t="shared" si="44"/>
        <v>0</v>
      </c>
      <c r="X124" s="55">
        <f t="shared" si="44"/>
        <v>0</v>
      </c>
      <c r="Y124" s="55">
        <f t="shared" si="44"/>
        <v>0</v>
      </c>
      <c r="Z124" s="55">
        <f t="shared" si="44"/>
        <v>0</v>
      </c>
      <c r="AA124" s="55">
        <f t="shared" si="44"/>
        <v>0</v>
      </c>
      <c r="AB124" s="55">
        <f t="shared" si="44"/>
        <v>0</v>
      </c>
      <c r="AC124" s="55">
        <f t="shared" si="44"/>
        <v>0</v>
      </c>
      <c r="AD124" s="55">
        <f t="shared" si="44"/>
        <v>0</v>
      </c>
      <c r="AE124" s="55">
        <f t="shared" si="44"/>
        <v>0</v>
      </c>
      <c r="AF124" s="55">
        <f t="shared" si="44"/>
        <v>0</v>
      </c>
      <c r="AG124" s="55">
        <f t="shared" si="44"/>
        <v>0</v>
      </c>
      <c r="AH124" s="55">
        <f t="shared" si="44"/>
        <v>0</v>
      </c>
      <c r="AI124" s="55">
        <f t="shared" si="44"/>
        <v>0</v>
      </c>
      <c r="AJ124" s="55">
        <f t="shared" si="44"/>
        <v>0</v>
      </c>
      <c r="AK124" s="55">
        <f t="shared" si="44"/>
        <v>0</v>
      </c>
      <c r="AL124" s="55">
        <f t="shared" si="44"/>
        <v>0</v>
      </c>
      <c r="AM124" s="55">
        <f t="shared" si="44"/>
        <v>0</v>
      </c>
      <c r="AN124" s="55">
        <f t="shared" si="44"/>
        <v>0</v>
      </c>
      <c r="AO124" s="55">
        <f t="shared" si="44"/>
        <v>0</v>
      </c>
      <c r="AP124" s="55">
        <f t="shared" si="44"/>
        <v>0</v>
      </c>
      <c r="AQ124" s="55">
        <f t="shared" ref="AQ124" si="45">IF($C122="",0,IF(AND(AQ122=$C122,AQ123=$C123),5,IF(OR(AND(AQ122-AQ123&gt;0,$C122-$C123&gt;0),AND(AQ123-AQ122&gt;0,$C123-$C122&gt;0),AND(AQ122-AQ123=0,$C122-$C123=0)),2,0)+IF(OR(AQ122=$C122,AQ123=$C123),1,0)))</f>
        <v>0</v>
      </c>
      <c r="AR124" s="55">
        <f t="shared" si="44"/>
        <v>0</v>
      </c>
      <c r="AS124" s="55">
        <f t="shared" si="44"/>
        <v>0</v>
      </c>
      <c r="AT124" s="55">
        <f t="shared" si="44"/>
        <v>0</v>
      </c>
      <c r="AU124" s="55">
        <f t="shared" si="44"/>
        <v>0</v>
      </c>
      <c r="AV124" s="55">
        <f t="shared" si="44"/>
        <v>0</v>
      </c>
      <c r="AW124" s="55">
        <f t="shared" si="44"/>
        <v>0</v>
      </c>
      <c r="AX124" s="55">
        <f t="shared" si="44"/>
        <v>0</v>
      </c>
      <c r="AY124" s="55">
        <f t="shared" si="44"/>
        <v>0</v>
      </c>
      <c r="AZ124" s="55">
        <f t="shared" si="44"/>
        <v>0</v>
      </c>
      <c r="BA124" s="55">
        <f t="shared" si="44"/>
        <v>0</v>
      </c>
      <c r="BB124" s="55">
        <f t="shared" si="44"/>
        <v>0</v>
      </c>
      <c r="BC124" s="55">
        <f t="shared" si="44"/>
        <v>0</v>
      </c>
      <c r="BD124" s="55">
        <f t="shared" si="44"/>
        <v>0</v>
      </c>
      <c r="BE124" s="55">
        <f t="shared" si="44"/>
        <v>0</v>
      </c>
      <c r="BF124" s="55">
        <f t="shared" si="44"/>
        <v>0</v>
      </c>
      <c r="BG124" s="55">
        <f t="shared" si="44"/>
        <v>0</v>
      </c>
      <c r="BH124" s="55">
        <f t="shared" si="44"/>
        <v>0</v>
      </c>
      <c r="BI124" s="55">
        <f t="shared" si="44"/>
        <v>0</v>
      </c>
      <c r="BJ124" s="55">
        <f t="shared" si="44"/>
        <v>0</v>
      </c>
    </row>
    <row r="125" spans="1:62" ht="15.75" customHeight="1" x14ac:dyDescent="0.25">
      <c r="A125" s="62"/>
      <c r="B125" s="19">
        <v>0.95833333333333337</v>
      </c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</row>
    <row r="126" spans="1:62" ht="15.75" customHeight="1" x14ac:dyDescent="0.25">
      <c r="A126" s="13"/>
      <c r="B126" s="13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</row>
    <row r="127" spans="1:62" ht="21.75" customHeight="1" x14ac:dyDescent="0.25">
      <c r="A127" s="61">
        <v>32</v>
      </c>
      <c r="B127" s="14" t="s">
        <v>81</v>
      </c>
      <c r="C127" s="15"/>
      <c r="D127" s="16">
        <v>2</v>
      </c>
      <c r="E127" s="16">
        <v>3</v>
      </c>
      <c r="F127" s="16">
        <v>1</v>
      </c>
      <c r="G127" s="17">
        <v>2</v>
      </c>
      <c r="H127" s="16">
        <v>2</v>
      </c>
      <c r="I127" s="16">
        <v>1</v>
      </c>
      <c r="J127" s="16">
        <v>2</v>
      </c>
      <c r="K127" s="16">
        <v>1</v>
      </c>
      <c r="L127" s="16">
        <v>2</v>
      </c>
      <c r="M127" s="16">
        <v>2</v>
      </c>
      <c r="N127" s="16">
        <v>2</v>
      </c>
      <c r="O127" s="16">
        <v>2</v>
      </c>
      <c r="P127" s="16">
        <v>2</v>
      </c>
      <c r="Q127" s="16">
        <v>3</v>
      </c>
      <c r="R127" s="17">
        <v>2</v>
      </c>
      <c r="S127" s="16">
        <v>2</v>
      </c>
      <c r="T127" s="16">
        <v>2</v>
      </c>
      <c r="U127" s="16">
        <v>2</v>
      </c>
      <c r="V127" s="16">
        <v>2</v>
      </c>
      <c r="W127" s="16">
        <v>2</v>
      </c>
      <c r="X127" s="16">
        <v>2</v>
      </c>
      <c r="Y127" s="16">
        <v>2</v>
      </c>
      <c r="Z127" s="16">
        <v>1</v>
      </c>
      <c r="AA127" s="17">
        <v>2</v>
      </c>
      <c r="AB127" s="16">
        <v>3</v>
      </c>
      <c r="AC127" s="16">
        <v>2</v>
      </c>
      <c r="AD127" s="17">
        <v>2</v>
      </c>
      <c r="AE127" s="17">
        <v>2</v>
      </c>
      <c r="AF127" s="17">
        <v>2</v>
      </c>
      <c r="AG127" s="16">
        <v>2</v>
      </c>
      <c r="AH127" s="16">
        <v>2</v>
      </c>
      <c r="AI127" s="17">
        <v>3</v>
      </c>
      <c r="AJ127" s="16">
        <v>2</v>
      </c>
      <c r="AK127" s="16">
        <v>2</v>
      </c>
      <c r="AL127" s="16">
        <v>2</v>
      </c>
      <c r="AM127" s="16">
        <v>2</v>
      </c>
      <c r="AN127" s="16">
        <v>2</v>
      </c>
      <c r="AO127" s="16">
        <v>3</v>
      </c>
      <c r="AP127" s="17">
        <v>3</v>
      </c>
      <c r="AQ127" s="16">
        <v>2</v>
      </c>
      <c r="AR127" s="17">
        <v>3</v>
      </c>
      <c r="AS127" s="17">
        <v>1</v>
      </c>
      <c r="AT127" s="16">
        <v>1</v>
      </c>
      <c r="AU127" s="17">
        <v>2</v>
      </c>
      <c r="AV127" s="16">
        <v>2</v>
      </c>
      <c r="AW127" s="16">
        <v>3</v>
      </c>
      <c r="AX127" s="16">
        <v>2</v>
      </c>
      <c r="AY127" s="16">
        <v>2</v>
      </c>
      <c r="AZ127" s="16">
        <v>1</v>
      </c>
      <c r="BA127" s="16">
        <v>3</v>
      </c>
      <c r="BB127" s="16">
        <v>0</v>
      </c>
      <c r="BC127" s="17">
        <v>2</v>
      </c>
      <c r="BD127" s="16">
        <v>2</v>
      </c>
      <c r="BE127" s="17">
        <v>1</v>
      </c>
      <c r="BF127" s="17">
        <v>2</v>
      </c>
      <c r="BG127" s="16">
        <v>1</v>
      </c>
      <c r="BH127" s="17">
        <v>2</v>
      </c>
      <c r="BI127" s="16">
        <v>0</v>
      </c>
      <c r="BJ127" s="16">
        <v>1</v>
      </c>
    </row>
    <row r="128" spans="1:62" ht="22.5" customHeight="1" x14ac:dyDescent="0.25">
      <c r="A128" s="62"/>
      <c r="B128" s="14" t="s">
        <v>83</v>
      </c>
      <c r="C128" s="15"/>
      <c r="D128" s="16">
        <v>0</v>
      </c>
      <c r="E128" s="16">
        <v>2</v>
      </c>
      <c r="F128" s="16">
        <v>0</v>
      </c>
      <c r="G128" s="17">
        <v>1</v>
      </c>
      <c r="H128" s="16">
        <v>0</v>
      </c>
      <c r="I128" s="16">
        <v>2</v>
      </c>
      <c r="J128" s="16">
        <v>0</v>
      </c>
      <c r="K128" s="16">
        <v>0</v>
      </c>
      <c r="L128" s="16">
        <v>1</v>
      </c>
      <c r="M128" s="16">
        <v>1</v>
      </c>
      <c r="N128" s="16">
        <v>0</v>
      </c>
      <c r="O128" s="16">
        <v>0</v>
      </c>
      <c r="P128" s="16">
        <v>1</v>
      </c>
      <c r="Q128" s="16">
        <v>0</v>
      </c>
      <c r="R128" s="17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1</v>
      </c>
      <c r="Y128" s="16">
        <v>0</v>
      </c>
      <c r="Z128" s="16">
        <v>1</v>
      </c>
      <c r="AA128" s="17">
        <v>1</v>
      </c>
      <c r="AB128" s="16">
        <v>1</v>
      </c>
      <c r="AC128" s="16">
        <v>0</v>
      </c>
      <c r="AD128" s="17">
        <v>2</v>
      </c>
      <c r="AE128" s="17">
        <v>0</v>
      </c>
      <c r="AF128" s="17">
        <v>0</v>
      </c>
      <c r="AG128" s="16">
        <v>0</v>
      </c>
      <c r="AH128" s="16">
        <v>0</v>
      </c>
      <c r="AI128" s="17">
        <v>1</v>
      </c>
      <c r="AJ128" s="16">
        <v>2</v>
      </c>
      <c r="AK128" s="16">
        <v>0</v>
      </c>
      <c r="AL128" s="16">
        <v>2</v>
      </c>
      <c r="AM128" s="16">
        <v>2</v>
      </c>
      <c r="AN128" s="16">
        <v>0</v>
      </c>
      <c r="AO128" s="16">
        <v>1</v>
      </c>
      <c r="AP128" s="17">
        <v>1</v>
      </c>
      <c r="AQ128" s="16">
        <v>0</v>
      </c>
      <c r="AR128" s="17">
        <v>1</v>
      </c>
      <c r="AS128" s="17">
        <v>1</v>
      </c>
      <c r="AT128" s="16">
        <v>1</v>
      </c>
      <c r="AU128" s="17">
        <v>1</v>
      </c>
      <c r="AV128" s="16">
        <v>0</v>
      </c>
      <c r="AW128" s="16">
        <v>0</v>
      </c>
      <c r="AX128" s="16">
        <v>1</v>
      </c>
      <c r="AY128" s="16">
        <v>0</v>
      </c>
      <c r="AZ128" s="16">
        <v>0</v>
      </c>
      <c r="BA128" s="16">
        <v>1</v>
      </c>
      <c r="BB128" s="16">
        <v>0</v>
      </c>
      <c r="BC128" s="17">
        <v>0</v>
      </c>
      <c r="BD128" s="16">
        <v>0</v>
      </c>
      <c r="BE128" s="17">
        <v>0</v>
      </c>
      <c r="BF128" s="17">
        <v>1</v>
      </c>
      <c r="BG128" s="16">
        <v>1</v>
      </c>
      <c r="BH128" s="17">
        <v>1</v>
      </c>
      <c r="BI128" s="16">
        <v>0</v>
      </c>
      <c r="BJ128" s="16">
        <v>0</v>
      </c>
    </row>
    <row r="129" spans="1:62" ht="15.75" customHeight="1" x14ac:dyDescent="0.25">
      <c r="A129" s="62"/>
      <c r="B129" s="18">
        <v>46192</v>
      </c>
      <c r="C129" s="60" t="s">
        <v>65</v>
      </c>
      <c r="D129" s="55">
        <f t="shared" ref="D129:BJ129" si="46">IF($C127="",0,IF(AND(D127=$C127,D128=$C128),5,IF(OR(AND(D127-D128&gt;0,$C127-$C128&gt;0),AND(D128-D127&gt;0,$C128-$C127&gt;0),AND(D127-D128=0,$C127-$C128=0)),2,0)+IF(OR(D127=$C127,D128=$C128),1,0)))</f>
        <v>0</v>
      </c>
      <c r="E129" s="55">
        <f t="shared" si="46"/>
        <v>0</v>
      </c>
      <c r="F129" s="55">
        <f t="shared" si="46"/>
        <v>0</v>
      </c>
      <c r="G129" s="55">
        <f t="shared" si="46"/>
        <v>0</v>
      </c>
      <c r="H129" s="55">
        <f t="shared" si="46"/>
        <v>0</v>
      </c>
      <c r="I129" s="55">
        <f t="shared" si="46"/>
        <v>0</v>
      </c>
      <c r="J129" s="55">
        <f t="shared" si="46"/>
        <v>0</v>
      </c>
      <c r="K129" s="55">
        <f t="shared" si="46"/>
        <v>0</v>
      </c>
      <c r="L129" s="55">
        <f t="shared" si="46"/>
        <v>0</v>
      </c>
      <c r="M129" s="55">
        <f t="shared" si="46"/>
        <v>0</v>
      </c>
      <c r="N129" s="55">
        <f t="shared" si="46"/>
        <v>0</v>
      </c>
      <c r="O129" s="55">
        <f t="shared" si="46"/>
        <v>0</v>
      </c>
      <c r="P129" s="55">
        <f t="shared" si="46"/>
        <v>0</v>
      </c>
      <c r="Q129" s="55">
        <f t="shared" si="46"/>
        <v>0</v>
      </c>
      <c r="R129" s="55">
        <f t="shared" si="46"/>
        <v>0</v>
      </c>
      <c r="S129" s="55">
        <f t="shared" si="46"/>
        <v>0</v>
      </c>
      <c r="T129" s="55">
        <f t="shared" si="46"/>
        <v>0</v>
      </c>
      <c r="U129" s="55">
        <f t="shared" si="46"/>
        <v>0</v>
      </c>
      <c r="V129" s="55">
        <f t="shared" si="46"/>
        <v>0</v>
      </c>
      <c r="W129" s="55">
        <f t="shared" si="46"/>
        <v>0</v>
      </c>
      <c r="X129" s="55">
        <f t="shared" si="46"/>
        <v>0</v>
      </c>
      <c r="Y129" s="55">
        <f t="shared" si="46"/>
        <v>0</v>
      </c>
      <c r="Z129" s="55">
        <f t="shared" si="46"/>
        <v>0</v>
      </c>
      <c r="AA129" s="55">
        <f t="shared" si="46"/>
        <v>0</v>
      </c>
      <c r="AB129" s="55">
        <f t="shared" si="46"/>
        <v>0</v>
      </c>
      <c r="AC129" s="55">
        <f t="shared" si="46"/>
        <v>0</v>
      </c>
      <c r="AD129" s="55">
        <f t="shared" si="46"/>
        <v>0</v>
      </c>
      <c r="AE129" s="55">
        <f t="shared" si="46"/>
        <v>0</v>
      </c>
      <c r="AF129" s="55">
        <f t="shared" si="46"/>
        <v>0</v>
      </c>
      <c r="AG129" s="55">
        <f t="shared" si="46"/>
        <v>0</v>
      </c>
      <c r="AH129" s="55">
        <f t="shared" si="46"/>
        <v>0</v>
      </c>
      <c r="AI129" s="55">
        <f t="shared" si="46"/>
        <v>0</v>
      </c>
      <c r="AJ129" s="55">
        <f t="shared" si="46"/>
        <v>0</v>
      </c>
      <c r="AK129" s="55">
        <f t="shared" si="46"/>
        <v>0</v>
      </c>
      <c r="AL129" s="55">
        <f t="shared" si="46"/>
        <v>0</v>
      </c>
      <c r="AM129" s="55">
        <f t="shared" si="46"/>
        <v>0</v>
      </c>
      <c r="AN129" s="55">
        <f t="shared" si="46"/>
        <v>0</v>
      </c>
      <c r="AO129" s="55">
        <f t="shared" si="46"/>
        <v>0</v>
      </c>
      <c r="AP129" s="55">
        <f t="shared" si="46"/>
        <v>0</v>
      </c>
      <c r="AQ129" s="55">
        <f t="shared" ref="AQ129" si="47">IF($C127="",0,IF(AND(AQ127=$C127,AQ128=$C128),5,IF(OR(AND(AQ127-AQ128&gt;0,$C127-$C128&gt;0),AND(AQ128-AQ127&gt;0,$C128-$C127&gt;0),AND(AQ127-AQ128=0,$C127-$C128=0)),2,0)+IF(OR(AQ127=$C127,AQ128=$C128),1,0)))</f>
        <v>0</v>
      </c>
      <c r="AR129" s="55">
        <f t="shared" si="46"/>
        <v>0</v>
      </c>
      <c r="AS129" s="55">
        <f t="shared" si="46"/>
        <v>0</v>
      </c>
      <c r="AT129" s="55">
        <f t="shared" si="46"/>
        <v>0</v>
      </c>
      <c r="AU129" s="55">
        <f t="shared" si="46"/>
        <v>0</v>
      </c>
      <c r="AV129" s="55">
        <f t="shared" si="46"/>
        <v>0</v>
      </c>
      <c r="AW129" s="55">
        <f t="shared" si="46"/>
        <v>0</v>
      </c>
      <c r="AX129" s="55">
        <f t="shared" si="46"/>
        <v>0</v>
      </c>
      <c r="AY129" s="55">
        <f t="shared" si="46"/>
        <v>0</v>
      </c>
      <c r="AZ129" s="55">
        <f t="shared" si="46"/>
        <v>0</v>
      </c>
      <c r="BA129" s="55">
        <f t="shared" si="46"/>
        <v>0</v>
      </c>
      <c r="BB129" s="55">
        <f t="shared" si="46"/>
        <v>0</v>
      </c>
      <c r="BC129" s="55">
        <f t="shared" si="46"/>
        <v>0</v>
      </c>
      <c r="BD129" s="55">
        <f t="shared" si="46"/>
        <v>0</v>
      </c>
      <c r="BE129" s="55">
        <f t="shared" si="46"/>
        <v>0</v>
      </c>
      <c r="BF129" s="55">
        <f t="shared" si="46"/>
        <v>0</v>
      </c>
      <c r="BG129" s="55">
        <f t="shared" si="46"/>
        <v>0</v>
      </c>
      <c r="BH129" s="55">
        <f t="shared" si="46"/>
        <v>0</v>
      </c>
      <c r="BI129" s="55">
        <f t="shared" si="46"/>
        <v>0</v>
      </c>
      <c r="BJ129" s="55">
        <f t="shared" si="46"/>
        <v>0</v>
      </c>
    </row>
    <row r="130" spans="1:62" ht="15.75" customHeight="1" x14ac:dyDescent="0.25">
      <c r="A130" s="62"/>
      <c r="B130" s="19">
        <v>0.58333333333333337</v>
      </c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</row>
    <row r="131" spans="1:62" ht="15.75" customHeight="1" x14ac:dyDescent="0.25">
      <c r="A131" s="13"/>
      <c r="B131" s="13"/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</row>
    <row r="132" spans="1:62" ht="26.25" customHeight="1" x14ac:dyDescent="0.25">
      <c r="A132" s="61">
        <v>31</v>
      </c>
      <c r="B132" s="14" t="s">
        <v>85</v>
      </c>
      <c r="C132" s="15"/>
      <c r="D132" s="16">
        <v>1</v>
      </c>
      <c r="E132" s="16">
        <v>1</v>
      </c>
      <c r="F132" s="16">
        <v>0</v>
      </c>
      <c r="G132" s="17">
        <v>1</v>
      </c>
      <c r="H132" s="16">
        <v>1</v>
      </c>
      <c r="I132" s="16">
        <v>0</v>
      </c>
      <c r="J132" s="16">
        <v>1</v>
      </c>
      <c r="K132" s="16">
        <v>0</v>
      </c>
      <c r="L132" s="16">
        <v>1</v>
      </c>
      <c r="M132" s="16">
        <v>1</v>
      </c>
      <c r="N132" s="16">
        <v>1</v>
      </c>
      <c r="O132" s="16">
        <v>2</v>
      </c>
      <c r="P132" s="16">
        <v>1</v>
      </c>
      <c r="Q132" s="16">
        <v>1</v>
      </c>
      <c r="R132" s="17">
        <v>2</v>
      </c>
      <c r="S132" s="16">
        <v>1</v>
      </c>
      <c r="T132" s="16">
        <v>1</v>
      </c>
      <c r="U132" s="16">
        <v>1</v>
      </c>
      <c r="V132" s="16">
        <v>2</v>
      </c>
      <c r="W132" s="16">
        <v>2</v>
      </c>
      <c r="X132" s="16">
        <v>1</v>
      </c>
      <c r="Y132" s="16">
        <v>1</v>
      </c>
      <c r="Z132" s="16">
        <v>1</v>
      </c>
      <c r="AA132" s="17">
        <v>1</v>
      </c>
      <c r="AB132" s="16">
        <v>0</v>
      </c>
      <c r="AC132" s="16">
        <v>1</v>
      </c>
      <c r="AD132" s="17">
        <v>0</v>
      </c>
      <c r="AE132" s="17">
        <v>2</v>
      </c>
      <c r="AF132" s="17">
        <v>1</v>
      </c>
      <c r="AG132" s="16">
        <v>1</v>
      </c>
      <c r="AH132" s="16">
        <v>1</v>
      </c>
      <c r="AI132" s="17">
        <v>0</v>
      </c>
      <c r="AJ132" s="16">
        <v>0</v>
      </c>
      <c r="AK132" s="16">
        <v>1</v>
      </c>
      <c r="AL132" s="16">
        <v>1</v>
      </c>
      <c r="AM132" s="16">
        <v>1</v>
      </c>
      <c r="AN132" s="16">
        <v>1</v>
      </c>
      <c r="AO132" s="16">
        <v>1</v>
      </c>
      <c r="AP132" s="17">
        <v>2</v>
      </c>
      <c r="AQ132" s="16">
        <v>2</v>
      </c>
      <c r="AR132" s="17">
        <v>2</v>
      </c>
      <c r="AS132" s="17">
        <v>3</v>
      </c>
      <c r="AT132" s="16">
        <v>0</v>
      </c>
      <c r="AU132" s="17">
        <v>1</v>
      </c>
      <c r="AV132" s="16">
        <v>1</v>
      </c>
      <c r="AW132" s="16">
        <v>2</v>
      </c>
      <c r="AX132" s="16">
        <v>1</v>
      </c>
      <c r="AY132" s="16">
        <v>2</v>
      </c>
      <c r="AZ132" s="16">
        <v>0</v>
      </c>
      <c r="BA132" s="16">
        <v>1</v>
      </c>
      <c r="BB132" s="16">
        <v>0</v>
      </c>
      <c r="BC132" s="17">
        <v>0</v>
      </c>
      <c r="BD132" s="16">
        <v>1</v>
      </c>
      <c r="BE132" s="17">
        <v>1</v>
      </c>
      <c r="BF132" s="17">
        <v>2</v>
      </c>
      <c r="BG132" s="16">
        <v>0</v>
      </c>
      <c r="BH132" s="17">
        <v>1</v>
      </c>
      <c r="BI132" s="16">
        <v>1</v>
      </c>
      <c r="BJ132" s="16">
        <v>1</v>
      </c>
    </row>
    <row r="133" spans="1:62" ht="21" customHeight="1" x14ac:dyDescent="0.25">
      <c r="A133" s="62"/>
      <c r="B133" s="14" t="s">
        <v>82</v>
      </c>
      <c r="C133" s="15"/>
      <c r="D133" s="16">
        <v>1</v>
      </c>
      <c r="E133" s="16">
        <v>2</v>
      </c>
      <c r="F133" s="16">
        <v>2</v>
      </c>
      <c r="G133" s="17">
        <v>1</v>
      </c>
      <c r="H133" s="16">
        <v>1</v>
      </c>
      <c r="I133" s="16">
        <v>2</v>
      </c>
      <c r="J133" s="16">
        <v>0</v>
      </c>
      <c r="K133" s="16">
        <v>1</v>
      </c>
      <c r="L133" s="16">
        <v>1</v>
      </c>
      <c r="M133" s="16">
        <v>0</v>
      </c>
      <c r="N133" s="16">
        <v>1</v>
      </c>
      <c r="O133" s="16">
        <v>1</v>
      </c>
      <c r="P133" s="16">
        <v>1</v>
      </c>
      <c r="Q133" s="16">
        <v>1</v>
      </c>
      <c r="R133" s="17">
        <v>2</v>
      </c>
      <c r="S133" s="16">
        <v>0</v>
      </c>
      <c r="T133" s="16">
        <v>1</v>
      </c>
      <c r="U133" s="16">
        <v>2</v>
      </c>
      <c r="V133" s="16">
        <v>1</v>
      </c>
      <c r="W133" s="16">
        <v>1</v>
      </c>
      <c r="X133" s="16">
        <v>2</v>
      </c>
      <c r="Y133" s="16">
        <v>1</v>
      </c>
      <c r="Z133" s="16">
        <v>1</v>
      </c>
      <c r="AA133" s="17">
        <v>1</v>
      </c>
      <c r="AB133" s="16">
        <v>1</v>
      </c>
      <c r="AC133" s="16">
        <v>1</v>
      </c>
      <c r="AD133" s="17">
        <v>3</v>
      </c>
      <c r="AE133" s="17">
        <v>1</v>
      </c>
      <c r="AF133" s="17">
        <v>2</v>
      </c>
      <c r="AG133" s="16">
        <v>1</v>
      </c>
      <c r="AH133" s="16">
        <v>1</v>
      </c>
      <c r="AI133" s="17">
        <v>2</v>
      </c>
      <c r="AJ133" s="16">
        <v>3</v>
      </c>
      <c r="AK133" s="16">
        <v>2</v>
      </c>
      <c r="AL133" s="16">
        <v>1</v>
      </c>
      <c r="AM133" s="16">
        <v>2</v>
      </c>
      <c r="AN133" s="16">
        <v>1</v>
      </c>
      <c r="AO133" s="16">
        <v>1</v>
      </c>
      <c r="AP133" s="17">
        <v>0</v>
      </c>
      <c r="AQ133" s="16">
        <v>1</v>
      </c>
      <c r="AR133" s="17">
        <v>2</v>
      </c>
      <c r="AS133" s="17">
        <v>1</v>
      </c>
      <c r="AT133" s="16">
        <v>2</v>
      </c>
      <c r="AU133" s="17">
        <v>0</v>
      </c>
      <c r="AV133" s="16">
        <v>2</v>
      </c>
      <c r="AW133" s="16">
        <v>1</v>
      </c>
      <c r="AX133" s="16">
        <v>0</v>
      </c>
      <c r="AY133" s="16">
        <v>2</v>
      </c>
      <c r="AZ133" s="16">
        <v>1</v>
      </c>
      <c r="BA133" s="16">
        <v>1</v>
      </c>
      <c r="BB133" s="16">
        <v>1</v>
      </c>
      <c r="BC133" s="17">
        <v>2</v>
      </c>
      <c r="BD133" s="16">
        <v>0</v>
      </c>
      <c r="BE133" s="17">
        <v>2</v>
      </c>
      <c r="BF133" s="17">
        <v>2</v>
      </c>
      <c r="BG133" s="16">
        <v>1</v>
      </c>
      <c r="BH133" s="17">
        <v>1</v>
      </c>
      <c r="BI133" s="16">
        <v>1</v>
      </c>
      <c r="BJ133" s="16">
        <v>2</v>
      </c>
    </row>
    <row r="134" spans="1:62" ht="15.75" customHeight="1" x14ac:dyDescent="0.25">
      <c r="A134" s="62"/>
      <c r="B134" s="18">
        <v>46192</v>
      </c>
      <c r="C134" s="60" t="s">
        <v>65</v>
      </c>
      <c r="D134" s="55">
        <f t="shared" ref="D134:BJ134" si="48">IF($C132="",0,IF(AND(D132=$C132,D133=$C133),5,IF(OR(AND(D132-D133&gt;0,$C132-$C133&gt;0),AND(D133-D132&gt;0,$C133-$C132&gt;0),AND(D132-D133=0,$C132-$C133=0)),2,0)+IF(OR(D132=$C132,D133=$C133),1,0)))</f>
        <v>0</v>
      </c>
      <c r="E134" s="55">
        <f t="shared" si="48"/>
        <v>0</v>
      </c>
      <c r="F134" s="55">
        <f t="shared" si="48"/>
        <v>0</v>
      </c>
      <c r="G134" s="55">
        <f t="shared" si="48"/>
        <v>0</v>
      </c>
      <c r="H134" s="55">
        <f t="shared" si="48"/>
        <v>0</v>
      </c>
      <c r="I134" s="55">
        <f t="shared" si="48"/>
        <v>0</v>
      </c>
      <c r="J134" s="55">
        <f t="shared" si="48"/>
        <v>0</v>
      </c>
      <c r="K134" s="55">
        <f t="shared" si="48"/>
        <v>0</v>
      </c>
      <c r="L134" s="55">
        <f t="shared" si="48"/>
        <v>0</v>
      </c>
      <c r="M134" s="55">
        <f t="shared" si="48"/>
        <v>0</v>
      </c>
      <c r="N134" s="55">
        <f t="shared" si="48"/>
        <v>0</v>
      </c>
      <c r="O134" s="55">
        <f t="shared" si="48"/>
        <v>0</v>
      </c>
      <c r="P134" s="55">
        <f t="shared" si="48"/>
        <v>0</v>
      </c>
      <c r="Q134" s="55">
        <f t="shared" si="48"/>
        <v>0</v>
      </c>
      <c r="R134" s="55">
        <f t="shared" si="48"/>
        <v>0</v>
      </c>
      <c r="S134" s="55">
        <f t="shared" si="48"/>
        <v>0</v>
      </c>
      <c r="T134" s="55">
        <f t="shared" si="48"/>
        <v>0</v>
      </c>
      <c r="U134" s="55">
        <f t="shared" si="48"/>
        <v>0</v>
      </c>
      <c r="V134" s="55">
        <f t="shared" si="48"/>
        <v>0</v>
      </c>
      <c r="W134" s="55">
        <f t="shared" si="48"/>
        <v>0</v>
      </c>
      <c r="X134" s="55">
        <f t="shared" si="48"/>
        <v>0</v>
      </c>
      <c r="Y134" s="55">
        <f t="shared" si="48"/>
        <v>0</v>
      </c>
      <c r="Z134" s="55">
        <f t="shared" si="48"/>
        <v>0</v>
      </c>
      <c r="AA134" s="55">
        <f t="shared" si="48"/>
        <v>0</v>
      </c>
      <c r="AB134" s="55">
        <f t="shared" si="48"/>
        <v>0</v>
      </c>
      <c r="AC134" s="55">
        <f t="shared" si="48"/>
        <v>0</v>
      </c>
      <c r="AD134" s="55">
        <f t="shared" si="48"/>
        <v>0</v>
      </c>
      <c r="AE134" s="55">
        <f t="shared" si="48"/>
        <v>0</v>
      </c>
      <c r="AF134" s="55">
        <f t="shared" si="48"/>
        <v>0</v>
      </c>
      <c r="AG134" s="55">
        <f t="shared" si="48"/>
        <v>0</v>
      </c>
      <c r="AH134" s="55">
        <f t="shared" si="48"/>
        <v>0</v>
      </c>
      <c r="AI134" s="55">
        <f t="shared" si="48"/>
        <v>0</v>
      </c>
      <c r="AJ134" s="55">
        <f t="shared" si="48"/>
        <v>0</v>
      </c>
      <c r="AK134" s="55">
        <f t="shared" si="48"/>
        <v>0</v>
      </c>
      <c r="AL134" s="55">
        <f t="shared" si="48"/>
        <v>0</v>
      </c>
      <c r="AM134" s="55">
        <f t="shared" si="48"/>
        <v>0</v>
      </c>
      <c r="AN134" s="55">
        <f t="shared" si="48"/>
        <v>0</v>
      </c>
      <c r="AO134" s="55">
        <f t="shared" si="48"/>
        <v>0</v>
      </c>
      <c r="AP134" s="55">
        <f t="shared" si="48"/>
        <v>0</v>
      </c>
      <c r="AQ134" s="55">
        <f t="shared" ref="AQ134" si="49">IF($C132="",0,IF(AND(AQ132=$C132,AQ133=$C133),5,IF(OR(AND(AQ132-AQ133&gt;0,$C132-$C133&gt;0),AND(AQ133-AQ132&gt;0,$C133-$C132&gt;0),AND(AQ132-AQ133=0,$C132-$C133=0)),2,0)+IF(OR(AQ132=$C132,AQ133=$C133),1,0)))</f>
        <v>0</v>
      </c>
      <c r="AR134" s="55">
        <f t="shared" si="48"/>
        <v>0</v>
      </c>
      <c r="AS134" s="55">
        <f t="shared" si="48"/>
        <v>0</v>
      </c>
      <c r="AT134" s="55">
        <f t="shared" si="48"/>
        <v>0</v>
      </c>
      <c r="AU134" s="55">
        <f t="shared" si="48"/>
        <v>0</v>
      </c>
      <c r="AV134" s="55">
        <f t="shared" si="48"/>
        <v>0</v>
      </c>
      <c r="AW134" s="55">
        <f t="shared" si="48"/>
        <v>0</v>
      </c>
      <c r="AX134" s="55">
        <f t="shared" si="48"/>
        <v>0</v>
      </c>
      <c r="AY134" s="55">
        <f t="shared" si="48"/>
        <v>0</v>
      </c>
      <c r="AZ134" s="55">
        <f t="shared" si="48"/>
        <v>0</v>
      </c>
      <c r="BA134" s="55">
        <f t="shared" si="48"/>
        <v>0</v>
      </c>
      <c r="BB134" s="55">
        <f t="shared" si="48"/>
        <v>0</v>
      </c>
      <c r="BC134" s="55">
        <f t="shared" si="48"/>
        <v>0</v>
      </c>
      <c r="BD134" s="55">
        <f t="shared" si="48"/>
        <v>0</v>
      </c>
      <c r="BE134" s="55">
        <f t="shared" si="48"/>
        <v>0</v>
      </c>
      <c r="BF134" s="55">
        <f t="shared" si="48"/>
        <v>0</v>
      </c>
      <c r="BG134" s="55">
        <f t="shared" si="48"/>
        <v>0</v>
      </c>
      <c r="BH134" s="55">
        <f t="shared" si="48"/>
        <v>0</v>
      </c>
      <c r="BI134" s="55">
        <f t="shared" si="48"/>
        <v>0</v>
      </c>
      <c r="BJ134" s="55">
        <f t="shared" si="48"/>
        <v>0</v>
      </c>
    </row>
    <row r="135" spans="1:62" ht="15.75" customHeight="1" x14ac:dyDescent="0.25">
      <c r="A135" s="62"/>
      <c r="B135" s="19">
        <v>0.91666666666666663</v>
      </c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</row>
    <row r="136" spans="1:62" ht="15.75" customHeight="1" x14ac:dyDescent="0.25">
      <c r="A136" s="23"/>
    </row>
    <row r="137" spans="1:62" ht="23.25" customHeight="1" x14ac:dyDescent="0.25">
      <c r="A137" s="61">
        <v>59</v>
      </c>
      <c r="B137" s="14" t="s">
        <v>85</v>
      </c>
      <c r="C137" s="15"/>
      <c r="D137" s="16">
        <v>1</v>
      </c>
      <c r="E137" s="16">
        <v>3</v>
      </c>
      <c r="F137" s="16">
        <v>1</v>
      </c>
      <c r="G137" s="17">
        <v>1</v>
      </c>
      <c r="H137" s="16">
        <v>1</v>
      </c>
      <c r="I137" s="16">
        <v>1</v>
      </c>
      <c r="J137" s="16">
        <v>1</v>
      </c>
      <c r="K137" s="16">
        <v>0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2</v>
      </c>
      <c r="R137" s="17">
        <v>1</v>
      </c>
      <c r="S137" s="16">
        <v>1</v>
      </c>
      <c r="T137" s="16">
        <v>2</v>
      </c>
      <c r="U137" s="16">
        <v>1</v>
      </c>
      <c r="V137" s="16">
        <v>1</v>
      </c>
      <c r="W137" s="16">
        <v>1</v>
      </c>
      <c r="X137" s="16">
        <v>1</v>
      </c>
      <c r="Y137" s="16">
        <v>1</v>
      </c>
      <c r="Z137" s="16">
        <v>1</v>
      </c>
      <c r="AA137" s="17">
        <v>2</v>
      </c>
      <c r="AB137" s="16">
        <v>1</v>
      </c>
      <c r="AC137" s="16">
        <v>1</v>
      </c>
      <c r="AD137" s="17">
        <v>0</v>
      </c>
      <c r="AE137" s="17">
        <v>1</v>
      </c>
      <c r="AF137" s="17">
        <v>1</v>
      </c>
      <c r="AG137" s="16">
        <v>1</v>
      </c>
      <c r="AH137" s="16">
        <v>1</v>
      </c>
      <c r="AI137" s="17">
        <v>2</v>
      </c>
      <c r="AJ137" s="16">
        <v>2</v>
      </c>
      <c r="AK137" s="16">
        <v>0</v>
      </c>
      <c r="AL137" s="16">
        <v>0</v>
      </c>
      <c r="AM137" s="16">
        <v>1</v>
      </c>
      <c r="AN137" s="16">
        <v>1</v>
      </c>
      <c r="AO137" s="16">
        <v>1</v>
      </c>
      <c r="AP137" s="17">
        <v>1</v>
      </c>
      <c r="AQ137" s="16">
        <v>1</v>
      </c>
      <c r="AR137" s="17">
        <v>3</v>
      </c>
      <c r="AS137" s="17">
        <v>3</v>
      </c>
      <c r="AT137" s="16">
        <v>1</v>
      </c>
      <c r="AU137" s="17">
        <v>1</v>
      </c>
      <c r="AV137" s="16">
        <v>0</v>
      </c>
      <c r="AW137" s="16">
        <v>2</v>
      </c>
      <c r="AX137" s="16">
        <v>1</v>
      </c>
      <c r="AY137" s="16">
        <v>1</v>
      </c>
      <c r="AZ137" s="16">
        <v>1</v>
      </c>
      <c r="BA137" s="16">
        <v>1</v>
      </c>
      <c r="BB137" s="16">
        <v>1</v>
      </c>
      <c r="BC137" s="17">
        <v>1</v>
      </c>
      <c r="BD137" s="16">
        <v>1</v>
      </c>
      <c r="BE137" s="17">
        <v>1</v>
      </c>
      <c r="BF137" s="17">
        <v>0</v>
      </c>
      <c r="BG137" s="16">
        <v>2</v>
      </c>
      <c r="BH137" s="17">
        <v>1</v>
      </c>
      <c r="BI137" s="16">
        <v>1</v>
      </c>
      <c r="BJ137" s="16">
        <v>1</v>
      </c>
    </row>
    <row r="138" spans="1:62" ht="18.75" customHeight="1" x14ac:dyDescent="0.25">
      <c r="A138" s="62"/>
      <c r="B138" s="14" t="s">
        <v>81</v>
      </c>
      <c r="C138" s="15"/>
      <c r="D138" s="16">
        <v>0</v>
      </c>
      <c r="E138" s="16">
        <v>3</v>
      </c>
      <c r="F138" s="16">
        <v>3</v>
      </c>
      <c r="G138" s="17">
        <v>1</v>
      </c>
      <c r="H138" s="16">
        <v>1</v>
      </c>
      <c r="I138" s="16">
        <v>3</v>
      </c>
      <c r="J138" s="16">
        <v>1</v>
      </c>
      <c r="K138" s="16">
        <v>3</v>
      </c>
      <c r="L138" s="16">
        <v>1</v>
      </c>
      <c r="M138" s="16">
        <v>1</v>
      </c>
      <c r="N138" s="16">
        <v>2</v>
      </c>
      <c r="O138" s="16">
        <v>1</v>
      </c>
      <c r="P138" s="16">
        <v>2</v>
      </c>
      <c r="Q138" s="16">
        <v>3</v>
      </c>
      <c r="R138" s="17">
        <v>0</v>
      </c>
      <c r="S138" s="16">
        <v>2</v>
      </c>
      <c r="T138" s="16">
        <v>2</v>
      </c>
      <c r="U138" s="16">
        <v>1</v>
      </c>
      <c r="V138" s="16">
        <v>2</v>
      </c>
      <c r="W138" s="16">
        <v>2</v>
      </c>
      <c r="X138" s="16">
        <v>1</v>
      </c>
      <c r="Y138" s="16">
        <v>1</v>
      </c>
      <c r="Z138" s="16">
        <v>2</v>
      </c>
      <c r="AA138" s="17">
        <v>2</v>
      </c>
      <c r="AB138" s="16">
        <v>2</v>
      </c>
      <c r="AC138" s="16">
        <v>1</v>
      </c>
      <c r="AD138" s="17">
        <v>3</v>
      </c>
      <c r="AE138" s="17">
        <v>2</v>
      </c>
      <c r="AF138" s="17">
        <v>1</v>
      </c>
      <c r="AG138" s="16">
        <v>2</v>
      </c>
      <c r="AH138" s="16">
        <v>2</v>
      </c>
      <c r="AI138" s="17">
        <v>2</v>
      </c>
      <c r="AJ138" s="16">
        <v>2</v>
      </c>
      <c r="AK138" s="16">
        <v>2</v>
      </c>
      <c r="AL138" s="16">
        <v>3</v>
      </c>
      <c r="AM138" s="16">
        <v>1</v>
      </c>
      <c r="AN138" s="16">
        <v>2</v>
      </c>
      <c r="AO138" s="16">
        <v>2</v>
      </c>
      <c r="AP138" s="17">
        <v>1</v>
      </c>
      <c r="AQ138" s="16">
        <v>2</v>
      </c>
      <c r="AR138" s="17">
        <v>2</v>
      </c>
      <c r="AS138" s="17">
        <v>0</v>
      </c>
      <c r="AT138" s="16">
        <v>1</v>
      </c>
      <c r="AU138" s="17">
        <v>1</v>
      </c>
      <c r="AV138" s="16">
        <v>1</v>
      </c>
      <c r="AW138" s="16">
        <v>2</v>
      </c>
      <c r="AX138" s="16">
        <v>3</v>
      </c>
      <c r="AY138" s="16">
        <v>1</v>
      </c>
      <c r="AZ138" s="16">
        <v>1</v>
      </c>
      <c r="BA138" s="16">
        <v>2</v>
      </c>
      <c r="BB138" s="16">
        <v>2</v>
      </c>
      <c r="BC138" s="17">
        <v>1</v>
      </c>
      <c r="BD138" s="16">
        <v>1</v>
      </c>
      <c r="BE138" s="17">
        <v>2</v>
      </c>
      <c r="BF138" s="17">
        <v>0</v>
      </c>
      <c r="BG138" s="16">
        <v>2</v>
      </c>
      <c r="BH138" s="17">
        <v>0</v>
      </c>
      <c r="BI138" s="16">
        <v>3</v>
      </c>
      <c r="BJ138" s="16">
        <v>2</v>
      </c>
    </row>
    <row r="139" spans="1:62" ht="15.75" customHeight="1" x14ac:dyDescent="0.25">
      <c r="A139" s="62"/>
      <c r="B139" s="18">
        <v>46198</v>
      </c>
      <c r="C139" s="60" t="s">
        <v>65</v>
      </c>
      <c r="D139" s="55">
        <f t="shared" ref="D139:BJ139" si="50">IF($C137="",0,IF(AND(D137=$C137,D138=$C138),5,IF(OR(AND(D137-D138&gt;0,$C137-$C138&gt;0),AND(D138-D137&gt;0,$C138-$C137&gt;0),AND(D137-D138=0,$C137-$C138=0)),2,0)+IF(OR(D137=$C137,D138=$C138),1,0)))</f>
        <v>0</v>
      </c>
      <c r="E139" s="55">
        <f t="shared" si="50"/>
        <v>0</v>
      </c>
      <c r="F139" s="55">
        <f t="shared" si="50"/>
        <v>0</v>
      </c>
      <c r="G139" s="55">
        <f t="shared" si="50"/>
        <v>0</v>
      </c>
      <c r="H139" s="55">
        <f t="shared" si="50"/>
        <v>0</v>
      </c>
      <c r="I139" s="55">
        <f t="shared" si="50"/>
        <v>0</v>
      </c>
      <c r="J139" s="55">
        <f t="shared" si="50"/>
        <v>0</v>
      </c>
      <c r="K139" s="55">
        <f t="shared" si="50"/>
        <v>0</v>
      </c>
      <c r="L139" s="55">
        <f t="shared" si="50"/>
        <v>0</v>
      </c>
      <c r="M139" s="55">
        <f t="shared" si="50"/>
        <v>0</v>
      </c>
      <c r="N139" s="55">
        <f t="shared" si="50"/>
        <v>0</v>
      </c>
      <c r="O139" s="55">
        <f t="shared" si="50"/>
        <v>0</v>
      </c>
      <c r="P139" s="55">
        <f t="shared" si="50"/>
        <v>0</v>
      </c>
      <c r="Q139" s="55">
        <f t="shared" si="50"/>
        <v>0</v>
      </c>
      <c r="R139" s="55">
        <f t="shared" si="50"/>
        <v>0</v>
      </c>
      <c r="S139" s="55">
        <f t="shared" si="50"/>
        <v>0</v>
      </c>
      <c r="T139" s="55">
        <f t="shared" si="50"/>
        <v>0</v>
      </c>
      <c r="U139" s="55">
        <f t="shared" si="50"/>
        <v>0</v>
      </c>
      <c r="V139" s="55">
        <f t="shared" si="50"/>
        <v>0</v>
      </c>
      <c r="W139" s="55">
        <f t="shared" si="50"/>
        <v>0</v>
      </c>
      <c r="X139" s="55">
        <f t="shared" si="50"/>
        <v>0</v>
      </c>
      <c r="Y139" s="55">
        <f t="shared" si="50"/>
        <v>0</v>
      </c>
      <c r="Z139" s="55">
        <f t="shared" si="50"/>
        <v>0</v>
      </c>
      <c r="AA139" s="55">
        <f t="shared" si="50"/>
        <v>0</v>
      </c>
      <c r="AB139" s="55">
        <f t="shared" si="50"/>
        <v>0</v>
      </c>
      <c r="AC139" s="55">
        <f t="shared" si="50"/>
        <v>0</v>
      </c>
      <c r="AD139" s="55">
        <f t="shared" si="50"/>
        <v>0</v>
      </c>
      <c r="AE139" s="55">
        <f t="shared" si="50"/>
        <v>0</v>
      </c>
      <c r="AF139" s="55">
        <f t="shared" si="50"/>
        <v>0</v>
      </c>
      <c r="AG139" s="55">
        <f t="shared" si="50"/>
        <v>0</v>
      </c>
      <c r="AH139" s="55">
        <f t="shared" si="50"/>
        <v>0</v>
      </c>
      <c r="AI139" s="55">
        <f t="shared" si="50"/>
        <v>0</v>
      </c>
      <c r="AJ139" s="55">
        <f t="shared" si="50"/>
        <v>0</v>
      </c>
      <c r="AK139" s="55">
        <f t="shared" si="50"/>
        <v>0</v>
      </c>
      <c r="AL139" s="55">
        <f t="shared" si="50"/>
        <v>0</v>
      </c>
      <c r="AM139" s="55">
        <f t="shared" si="50"/>
        <v>0</v>
      </c>
      <c r="AN139" s="55">
        <f t="shared" si="50"/>
        <v>0</v>
      </c>
      <c r="AO139" s="55">
        <f t="shared" si="50"/>
        <v>0</v>
      </c>
      <c r="AP139" s="55">
        <f t="shared" si="50"/>
        <v>0</v>
      </c>
      <c r="AQ139" s="55">
        <f t="shared" ref="AQ139" si="51">IF($C137="",0,IF(AND(AQ137=$C137,AQ138=$C138),5,IF(OR(AND(AQ137-AQ138&gt;0,$C137-$C138&gt;0),AND(AQ138-AQ137&gt;0,$C138-$C137&gt;0),AND(AQ137-AQ138=0,$C137-$C138=0)),2,0)+IF(OR(AQ137=$C137,AQ138=$C138),1,0)))</f>
        <v>0</v>
      </c>
      <c r="AR139" s="55">
        <f t="shared" si="50"/>
        <v>0</v>
      </c>
      <c r="AS139" s="55">
        <f t="shared" si="50"/>
        <v>0</v>
      </c>
      <c r="AT139" s="55">
        <f t="shared" si="50"/>
        <v>0</v>
      </c>
      <c r="AU139" s="55">
        <f t="shared" si="50"/>
        <v>0</v>
      </c>
      <c r="AV139" s="55">
        <f t="shared" si="50"/>
        <v>0</v>
      </c>
      <c r="AW139" s="55">
        <f t="shared" si="50"/>
        <v>0</v>
      </c>
      <c r="AX139" s="55">
        <f t="shared" si="50"/>
        <v>0</v>
      </c>
      <c r="AY139" s="55">
        <f t="shared" si="50"/>
        <v>0</v>
      </c>
      <c r="AZ139" s="55">
        <f t="shared" si="50"/>
        <v>0</v>
      </c>
      <c r="BA139" s="55">
        <f t="shared" si="50"/>
        <v>0</v>
      </c>
      <c r="BB139" s="55">
        <f t="shared" si="50"/>
        <v>0</v>
      </c>
      <c r="BC139" s="55">
        <f t="shared" si="50"/>
        <v>0</v>
      </c>
      <c r="BD139" s="55">
        <f t="shared" si="50"/>
        <v>0</v>
      </c>
      <c r="BE139" s="55">
        <f t="shared" si="50"/>
        <v>0</v>
      </c>
      <c r="BF139" s="55">
        <f t="shared" si="50"/>
        <v>0</v>
      </c>
      <c r="BG139" s="55">
        <f t="shared" si="50"/>
        <v>0</v>
      </c>
      <c r="BH139" s="55">
        <f t="shared" si="50"/>
        <v>0</v>
      </c>
      <c r="BI139" s="55">
        <f t="shared" si="50"/>
        <v>0</v>
      </c>
      <c r="BJ139" s="55">
        <f t="shared" si="50"/>
        <v>0</v>
      </c>
    </row>
    <row r="140" spans="1:62" ht="15.75" customHeight="1" x14ac:dyDescent="0.25">
      <c r="A140" s="62"/>
      <c r="B140" s="19">
        <v>0.79166666666666663</v>
      </c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</row>
    <row r="141" spans="1:62" ht="15.75" customHeight="1" x14ac:dyDescent="0.25">
      <c r="A141" s="23"/>
    </row>
    <row r="142" spans="1:62" ht="20.25" customHeight="1" x14ac:dyDescent="0.25">
      <c r="A142" s="61">
        <v>60</v>
      </c>
      <c r="B142" s="14" t="s">
        <v>82</v>
      </c>
      <c r="C142" s="15"/>
      <c r="D142" s="16">
        <v>2</v>
      </c>
      <c r="E142" s="16">
        <v>2</v>
      </c>
      <c r="F142" s="16">
        <v>0</v>
      </c>
      <c r="G142" s="17">
        <v>1</v>
      </c>
      <c r="H142" s="16">
        <v>1</v>
      </c>
      <c r="I142" s="16">
        <v>1</v>
      </c>
      <c r="J142" s="16">
        <v>1</v>
      </c>
      <c r="K142" s="16">
        <v>2</v>
      </c>
      <c r="L142" s="16">
        <v>1</v>
      </c>
      <c r="M142" s="16">
        <v>1</v>
      </c>
      <c r="N142" s="16">
        <v>1</v>
      </c>
      <c r="O142" s="16">
        <v>2</v>
      </c>
      <c r="P142" s="16">
        <v>2</v>
      </c>
      <c r="Q142" s="16">
        <v>2</v>
      </c>
      <c r="R142" s="17">
        <v>2</v>
      </c>
      <c r="S142" s="16">
        <v>1</v>
      </c>
      <c r="T142" s="16">
        <v>2</v>
      </c>
      <c r="U142" s="16">
        <v>2</v>
      </c>
      <c r="V142" s="16">
        <v>1</v>
      </c>
      <c r="W142" s="16">
        <v>3</v>
      </c>
      <c r="X142" s="16">
        <v>2</v>
      </c>
      <c r="Y142" s="16">
        <v>2</v>
      </c>
      <c r="Z142" s="16">
        <v>2</v>
      </c>
      <c r="AA142" s="17">
        <v>2</v>
      </c>
      <c r="AB142" s="16">
        <v>1</v>
      </c>
      <c r="AC142" s="16">
        <v>2</v>
      </c>
      <c r="AD142" s="17">
        <v>2</v>
      </c>
      <c r="AE142" s="17">
        <v>2</v>
      </c>
      <c r="AF142" s="17">
        <v>1</v>
      </c>
      <c r="AG142" s="16">
        <v>1</v>
      </c>
      <c r="AH142" s="16">
        <v>2</v>
      </c>
      <c r="AI142" s="17">
        <v>2</v>
      </c>
      <c r="AJ142" s="16">
        <v>2</v>
      </c>
      <c r="AK142" s="16">
        <v>3</v>
      </c>
      <c r="AL142" s="16">
        <v>2</v>
      </c>
      <c r="AM142" s="16">
        <v>0</v>
      </c>
      <c r="AN142" s="16">
        <v>1</v>
      </c>
      <c r="AO142" s="16">
        <v>2</v>
      </c>
      <c r="AP142" s="17">
        <v>0</v>
      </c>
      <c r="AQ142" s="16">
        <v>1</v>
      </c>
      <c r="AR142" s="17">
        <v>2</v>
      </c>
      <c r="AS142" s="17">
        <v>1</v>
      </c>
      <c r="AT142" s="16">
        <v>2</v>
      </c>
      <c r="AU142" s="17">
        <v>1</v>
      </c>
      <c r="AV142" s="16">
        <v>1</v>
      </c>
      <c r="AW142" s="16">
        <v>2</v>
      </c>
      <c r="AX142" s="16">
        <v>2</v>
      </c>
      <c r="AY142" s="16">
        <v>2</v>
      </c>
      <c r="AZ142" s="16">
        <v>2</v>
      </c>
      <c r="BA142" s="16">
        <v>1</v>
      </c>
      <c r="BB142" s="16">
        <v>1</v>
      </c>
      <c r="BC142" s="17">
        <v>1</v>
      </c>
      <c r="BD142" s="16">
        <v>2</v>
      </c>
      <c r="BE142" s="17">
        <v>2</v>
      </c>
      <c r="BF142" s="17">
        <v>1</v>
      </c>
      <c r="BG142" s="16">
        <v>1</v>
      </c>
      <c r="BH142" s="17">
        <v>2</v>
      </c>
      <c r="BI142" s="16">
        <v>2</v>
      </c>
      <c r="BJ142" s="16">
        <v>1</v>
      </c>
    </row>
    <row r="143" spans="1:62" ht="23.25" customHeight="1" x14ac:dyDescent="0.25">
      <c r="A143" s="62"/>
      <c r="B143" s="14" t="s">
        <v>83</v>
      </c>
      <c r="C143" s="15"/>
      <c r="D143" s="16">
        <v>1</v>
      </c>
      <c r="E143" s="16">
        <v>1</v>
      </c>
      <c r="F143" s="16">
        <v>1</v>
      </c>
      <c r="G143" s="17">
        <v>1</v>
      </c>
      <c r="H143" s="16">
        <v>0</v>
      </c>
      <c r="I143" s="16">
        <v>1</v>
      </c>
      <c r="J143" s="16">
        <v>1</v>
      </c>
      <c r="K143" s="16">
        <v>0</v>
      </c>
      <c r="L143" s="16">
        <v>0</v>
      </c>
      <c r="M143" s="16">
        <v>0</v>
      </c>
      <c r="N143" s="16">
        <v>0</v>
      </c>
      <c r="O143" s="16">
        <v>1</v>
      </c>
      <c r="P143" s="16">
        <v>1</v>
      </c>
      <c r="Q143" s="16">
        <v>0</v>
      </c>
      <c r="R143" s="17">
        <v>0</v>
      </c>
      <c r="S143" s="16">
        <v>1</v>
      </c>
      <c r="T143" s="16">
        <v>1</v>
      </c>
      <c r="U143" s="16">
        <v>1</v>
      </c>
      <c r="V143" s="16">
        <v>1</v>
      </c>
      <c r="W143" s="16">
        <v>0</v>
      </c>
      <c r="X143" s="16">
        <v>0</v>
      </c>
      <c r="Y143" s="16">
        <v>1</v>
      </c>
      <c r="Z143" s="16">
        <v>1</v>
      </c>
      <c r="AA143" s="17">
        <v>1</v>
      </c>
      <c r="AB143" s="16">
        <v>0</v>
      </c>
      <c r="AC143" s="16">
        <v>1</v>
      </c>
      <c r="AD143" s="17">
        <v>2</v>
      </c>
      <c r="AE143" s="17">
        <v>0</v>
      </c>
      <c r="AF143" s="17">
        <v>1</v>
      </c>
      <c r="AG143" s="16">
        <v>0</v>
      </c>
      <c r="AH143" s="16">
        <v>1</v>
      </c>
      <c r="AI143" s="17">
        <v>2</v>
      </c>
      <c r="AJ143" s="16">
        <v>0</v>
      </c>
      <c r="AK143" s="16">
        <v>1</v>
      </c>
      <c r="AL143" s="16">
        <v>1</v>
      </c>
      <c r="AM143" s="16">
        <v>1</v>
      </c>
      <c r="AN143" s="16">
        <v>0</v>
      </c>
      <c r="AO143" s="16">
        <v>0</v>
      </c>
      <c r="AP143" s="17">
        <v>1</v>
      </c>
      <c r="AQ143" s="16">
        <v>0</v>
      </c>
      <c r="AR143" s="17">
        <v>1</v>
      </c>
      <c r="AS143" s="17">
        <v>0</v>
      </c>
      <c r="AT143" s="16">
        <v>1</v>
      </c>
      <c r="AU143" s="17">
        <v>0</v>
      </c>
      <c r="AV143" s="16">
        <v>0</v>
      </c>
      <c r="AW143" s="16">
        <v>1</v>
      </c>
      <c r="AX143" s="16">
        <v>1</v>
      </c>
      <c r="AY143" s="16">
        <v>1</v>
      </c>
      <c r="AZ143" s="16">
        <v>0</v>
      </c>
      <c r="BA143" s="16">
        <v>0</v>
      </c>
      <c r="BB143" s="16">
        <v>0</v>
      </c>
      <c r="BC143" s="17">
        <v>1</v>
      </c>
      <c r="BD143" s="16">
        <v>0</v>
      </c>
      <c r="BE143" s="17">
        <v>0</v>
      </c>
      <c r="BF143" s="17">
        <v>1</v>
      </c>
      <c r="BG143" s="16">
        <v>1</v>
      </c>
      <c r="BH143" s="17">
        <v>0</v>
      </c>
      <c r="BI143" s="16">
        <v>2</v>
      </c>
      <c r="BJ143" s="16">
        <v>0</v>
      </c>
    </row>
    <row r="144" spans="1:62" ht="15.75" customHeight="1" x14ac:dyDescent="0.25">
      <c r="A144" s="62"/>
      <c r="B144" s="18">
        <v>46198</v>
      </c>
      <c r="C144" s="60" t="s">
        <v>65</v>
      </c>
      <c r="D144" s="55">
        <f t="shared" ref="D144:BJ144" si="52">IF($C142="",0,IF(AND(D142=$C142,D143=$C143),5,IF(OR(AND(D142-D143&gt;0,$C142-$C143&gt;0),AND(D143-D142&gt;0,$C143-$C142&gt;0),AND(D142-D143=0,$C142-$C143=0)),2,0)+IF(OR(D142=$C142,D143=$C143),1,0)))</f>
        <v>0</v>
      </c>
      <c r="E144" s="55">
        <f t="shared" si="52"/>
        <v>0</v>
      </c>
      <c r="F144" s="55">
        <f t="shared" si="52"/>
        <v>0</v>
      </c>
      <c r="G144" s="55">
        <f t="shared" si="52"/>
        <v>0</v>
      </c>
      <c r="H144" s="55">
        <f t="shared" si="52"/>
        <v>0</v>
      </c>
      <c r="I144" s="55">
        <f t="shared" si="52"/>
        <v>0</v>
      </c>
      <c r="J144" s="55">
        <f t="shared" si="52"/>
        <v>0</v>
      </c>
      <c r="K144" s="55">
        <f t="shared" si="52"/>
        <v>0</v>
      </c>
      <c r="L144" s="55">
        <f t="shared" si="52"/>
        <v>0</v>
      </c>
      <c r="M144" s="55">
        <f t="shared" si="52"/>
        <v>0</v>
      </c>
      <c r="N144" s="55">
        <f t="shared" si="52"/>
        <v>0</v>
      </c>
      <c r="O144" s="55">
        <f t="shared" si="52"/>
        <v>0</v>
      </c>
      <c r="P144" s="55">
        <f t="shared" si="52"/>
        <v>0</v>
      </c>
      <c r="Q144" s="55">
        <f t="shared" si="52"/>
        <v>0</v>
      </c>
      <c r="R144" s="55">
        <f t="shared" si="52"/>
        <v>0</v>
      </c>
      <c r="S144" s="55">
        <f t="shared" si="52"/>
        <v>0</v>
      </c>
      <c r="T144" s="55">
        <f t="shared" si="52"/>
        <v>0</v>
      </c>
      <c r="U144" s="55">
        <f t="shared" si="52"/>
        <v>0</v>
      </c>
      <c r="V144" s="55">
        <f t="shared" si="52"/>
        <v>0</v>
      </c>
      <c r="W144" s="55">
        <f t="shared" si="52"/>
        <v>0</v>
      </c>
      <c r="X144" s="55">
        <f t="shared" si="52"/>
        <v>0</v>
      </c>
      <c r="Y144" s="55">
        <f t="shared" si="52"/>
        <v>0</v>
      </c>
      <c r="Z144" s="55">
        <f t="shared" si="52"/>
        <v>0</v>
      </c>
      <c r="AA144" s="55">
        <f t="shared" si="52"/>
        <v>0</v>
      </c>
      <c r="AB144" s="55">
        <f t="shared" si="52"/>
        <v>0</v>
      </c>
      <c r="AC144" s="55">
        <f t="shared" si="52"/>
        <v>0</v>
      </c>
      <c r="AD144" s="55">
        <f t="shared" si="52"/>
        <v>0</v>
      </c>
      <c r="AE144" s="55">
        <f t="shared" si="52"/>
        <v>0</v>
      </c>
      <c r="AF144" s="55">
        <f t="shared" si="52"/>
        <v>0</v>
      </c>
      <c r="AG144" s="55">
        <f t="shared" si="52"/>
        <v>0</v>
      </c>
      <c r="AH144" s="55">
        <f t="shared" si="52"/>
        <v>0</v>
      </c>
      <c r="AI144" s="55">
        <f t="shared" si="52"/>
        <v>0</v>
      </c>
      <c r="AJ144" s="55">
        <f t="shared" si="52"/>
        <v>0</v>
      </c>
      <c r="AK144" s="55">
        <f t="shared" si="52"/>
        <v>0</v>
      </c>
      <c r="AL144" s="55">
        <f t="shared" si="52"/>
        <v>0</v>
      </c>
      <c r="AM144" s="55">
        <f t="shared" si="52"/>
        <v>0</v>
      </c>
      <c r="AN144" s="55">
        <f t="shared" si="52"/>
        <v>0</v>
      </c>
      <c r="AO144" s="55">
        <f t="shared" si="52"/>
        <v>0</v>
      </c>
      <c r="AP144" s="55">
        <f t="shared" si="52"/>
        <v>0</v>
      </c>
      <c r="AQ144" s="55">
        <f t="shared" ref="AQ144" si="53">IF($C142="",0,IF(AND(AQ142=$C142,AQ143=$C143),5,IF(OR(AND(AQ142-AQ143&gt;0,$C142-$C143&gt;0),AND(AQ143-AQ142&gt;0,$C143-$C142&gt;0),AND(AQ142-AQ143=0,$C142-$C143=0)),2,0)+IF(OR(AQ142=$C142,AQ143=$C143),1,0)))</f>
        <v>0</v>
      </c>
      <c r="AR144" s="55">
        <f t="shared" si="52"/>
        <v>0</v>
      </c>
      <c r="AS144" s="55">
        <f t="shared" si="52"/>
        <v>0</v>
      </c>
      <c r="AT144" s="55">
        <f t="shared" si="52"/>
        <v>0</v>
      </c>
      <c r="AU144" s="55">
        <f t="shared" si="52"/>
        <v>0</v>
      </c>
      <c r="AV144" s="55">
        <f t="shared" si="52"/>
        <v>0</v>
      </c>
      <c r="AW144" s="55">
        <f t="shared" si="52"/>
        <v>0</v>
      </c>
      <c r="AX144" s="55">
        <f t="shared" si="52"/>
        <v>0</v>
      </c>
      <c r="AY144" s="55">
        <f t="shared" si="52"/>
        <v>0</v>
      </c>
      <c r="AZ144" s="55">
        <f t="shared" si="52"/>
        <v>0</v>
      </c>
      <c r="BA144" s="55">
        <f t="shared" si="52"/>
        <v>0</v>
      </c>
      <c r="BB144" s="55">
        <f t="shared" si="52"/>
        <v>0</v>
      </c>
      <c r="BC144" s="55">
        <f t="shared" si="52"/>
        <v>0</v>
      </c>
      <c r="BD144" s="55">
        <f t="shared" si="52"/>
        <v>0</v>
      </c>
      <c r="BE144" s="55">
        <f t="shared" si="52"/>
        <v>0</v>
      </c>
      <c r="BF144" s="55">
        <f t="shared" si="52"/>
        <v>0</v>
      </c>
      <c r="BG144" s="55">
        <f t="shared" si="52"/>
        <v>0</v>
      </c>
      <c r="BH144" s="55">
        <f t="shared" si="52"/>
        <v>0</v>
      </c>
      <c r="BI144" s="55">
        <f t="shared" si="52"/>
        <v>0</v>
      </c>
      <c r="BJ144" s="55">
        <f t="shared" si="52"/>
        <v>0</v>
      </c>
    </row>
    <row r="145" spans="1:62" ht="15.75" customHeight="1" x14ac:dyDescent="0.25">
      <c r="A145" s="62"/>
      <c r="B145" s="19">
        <v>0.79166666666666663</v>
      </c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</row>
    <row r="146" spans="1:62" ht="15.75" customHeight="1" x14ac:dyDescent="0.25"/>
    <row r="147" spans="1:62" ht="15.75" customHeight="1" x14ac:dyDescent="0.25"/>
    <row r="148" spans="1:62" ht="15.75" customHeight="1" x14ac:dyDescent="0.25"/>
    <row r="149" spans="1:62" ht="44.25" customHeight="1" x14ac:dyDescent="0.25">
      <c r="A149" s="57" t="s">
        <v>86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9"/>
    </row>
    <row r="150" spans="1:62" ht="15.75" customHeight="1" x14ac:dyDescent="0.25">
      <c r="A150" s="2"/>
      <c r="B150" s="2"/>
      <c r="C150" s="2"/>
      <c r="D150" s="2"/>
      <c r="E150" s="2"/>
      <c r="F150" s="2"/>
      <c r="G150" s="2"/>
      <c r="H150" s="3"/>
      <c r="I150" s="3"/>
      <c r="J150" s="3"/>
    </row>
    <row r="151" spans="1:62" ht="15.75" customHeight="1" x14ac:dyDescent="0.25">
      <c r="A151" s="4"/>
      <c r="B151" s="5"/>
      <c r="C151" s="6"/>
      <c r="D151" s="7">
        <v>1</v>
      </c>
      <c r="E151" s="7">
        <v>2</v>
      </c>
      <c r="F151" s="7">
        <v>3</v>
      </c>
      <c r="G151" s="7">
        <v>4</v>
      </c>
      <c r="H151" s="7">
        <v>5</v>
      </c>
      <c r="I151" s="7">
        <v>6</v>
      </c>
      <c r="J151" s="7">
        <v>7</v>
      </c>
      <c r="K151" s="7">
        <v>8</v>
      </c>
      <c r="L151" s="7">
        <v>9</v>
      </c>
      <c r="M151" s="7">
        <v>10</v>
      </c>
      <c r="N151" s="7">
        <v>11</v>
      </c>
      <c r="O151" s="7">
        <v>13</v>
      </c>
      <c r="P151" s="7">
        <v>14</v>
      </c>
      <c r="Q151" s="7">
        <v>15</v>
      </c>
      <c r="R151" s="7">
        <v>16</v>
      </c>
      <c r="S151" s="7">
        <v>17</v>
      </c>
      <c r="T151" s="7">
        <v>18</v>
      </c>
      <c r="U151" s="7">
        <v>19</v>
      </c>
      <c r="V151" s="7">
        <v>20</v>
      </c>
      <c r="W151" s="7">
        <v>21</v>
      </c>
      <c r="X151" s="7">
        <v>22</v>
      </c>
      <c r="Y151" s="7">
        <v>24</v>
      </c>
      <c r="Z151" s="7">
        <v>25</v>
      </c>
      <c r="AA151" s="7">
        <v>26</v>
      </c>
      <c r="AB151" s="7">
        <v>27</v>
      </c>
      <c r="AC151" s="7">
        <v>29</v>
      </c>
      <c r="AD151" s="7">
        <v>30</v>
      </c>
      <c r="AE151" s="7">
        <v>32</v>
      </c>
      <c r="AF151" s="7">
        <v>33</v>
      </c>
      <c r="AG151" s="7">
        <v>34</v>
      </c>
      <c r="AH151" s="7">
        <v>35</v>
      </c>
      <c r="AI151" s="7">
        <v>36</v>
      </c>
      <c r="AJ151" s="7">
        <v>37</v>
      </c>
      <c r="AK151" s="7">
        <v>38</v>
      </c>
      <c r="AL151" s="7">
        <v>39</v>
      </c>
      <c r="AM151" s="7">
        <v>40</v>
      </c>
      <c r="AN151" s="7">
        <v>41</v>
      </c>
      <c r="AO151" s="7">
        <v>42</v>
      </c>
      <c r="AP151" s="7">
        <v>44</v>
      </c>
      <c r="AQ151" s="7">
        <v>67</v>
      </c>
      <c r="AR151" s="7">
        <v>48</v>
      </c>
      <c r="AS151" s="7">
        <v>49</v>
      </c>
      <c r="AT151" s="7">
        <v>51</v>
      </c>
      <c r="AU151" s="7">
        <v>52</v>
      </c>
      <c r="AV151" s="7">
        <v>53</v>
      </c>
      <c r="AW151" s="7">
        <v>54</v>
      </c>
      <c r="AX151" s="7">
        <v>55</v>
      </c>
      <c r="AY151" s="7">
        <v>56</v>
      </c>
      <c r="AZ151" s="7">
        <v>57</v>
      </c>
      <c r="BA151" s="7">
        <v>58</v>
      </c>
      <c r="BB151" s="7">
        <v>59</v>
      </c>
      <c r="BC151" s="7">
        <v>60</v>
      </c>
      <c r="BD151" s="7">
        <v>61</v>
      </c>
      <c r="BE151" s="7">
        <v>62</v>
      </c>
      <c r="BF151" s="7">
        <v>63</v>
      </c>
      <c r="BG151" s="7">
        <v>64</v>
      </c>
      <c r="BH151" s="7">
        <v>65</v>
      </c>
      <c r="BI151" s="7">
        <v>66</v>
      </c>
      <c r="BJ151" s="7">
        <v>67</v>
      </c>
    </row>
    <row r="152" spans="1:62" ht="204.75" customHeight="1" x14ac:dyDescent="0.25">
      <c r="A152" s="8"/>
      <c r="B152" s="9" t="s">
        <v>3</v>
      </c>
      <c r="C152" s="10" t="s">
        <v>4</v>
      </c>
      <c r="D152" s="24" t="str">
        <f t="shared" ref="D152:BJ152" si="54">D8</f>
        <v>Julian Uribe</v>
      </c>
      <c r="E152" s="24" t="str">
        <f t="shared" si="54"/>
        <v>Yulian Sanchez</v>
      </c>
      <c r="F152" s="24" t="str">
        <f t="shared" si="54"/>
        <v>Francisco Moreno</v>
      </c>
      <c r="G152" s="24" t="str">
        <f t="shared" si="54"/>
        <v>Mauricio Guerrero</v>
      </c>
      <c r="H152" s="24" t="str">
        <f t="shared" si="54"/>
        <v>Gustavo Guerrero</v>
      </c>
      <c r="I152" s="24" t="str">
        <f t="shared" si="54"/>
        <v>Gerardo Martinez</v>
      </c>
      <c r="J152" s="24" t="str">
        <f t="shared" si="54"/>
        <v>Nora Perez</v>
      </c>
      <c r="K152" s="24" t="str">
        <f t="shared" si="54"/>
        <v>Laura Rodriguez</v>
      </c>
      <c r="L152" s="24" t="str">
        <f t="shared" si="54"/>
        <v>Jhoana Moreno</v>
      </c>
      <c r="M152" s="24" t="str">
        <f t="shared" si="54"/>
        <v xml:space="preserve">Yoselin Salinas </v>
      </c>
      <c r="N152" s="24" t="str">
        <f t="shared" si="54"/>
        <v>Luis Diaz</v>
      </c>
      <c r="O152" s="24" t="str">
        <f t="shared" si="54"/>
        <v>Diela del Carmen</v>
      </c>
      <c r="P152" s="24" t="str">
        <f t="shared" si="54"/>
        <v>Paola Agredo</v>
      </c>
      <c r="Q152" s="24" t="str">
        <f t="shared" si="54"/>
        <v>Oscar Suarez</v>
      </c>
      <c r="R152" s="24" t="str">
        <f t="shared" si="54"/>
        <v>Paulo Figueroa</v>
      </c>
      <c r="S152" s="24" t="str">
        <f t="shared" si="54"/>
        <v xml:space="preserve">Jean Piere </v>
      </c>
      <c r="T152" s="24" t="str">
        <f t="shared" si="54"/>
        <v>David Diaz</v>
      </c>
      <c r="U152" s="24" t="str">
        <f t="shared" si="54"/>
        <v xml:space="preserve">Christian Giraldo </v>
      </c>
      <c r="V152" s="24" t="str">
        <f t="shared" si="54"/>
        <v>Viviana Hurtado</v>
      </c>
      <c r="W152" s="24" t="str">
        <f t="shared" si="54"/>
        <v>James Chavez Ocampo</v>
      </c>
      <c r="X152" s="24" t="str">
        <f t="shared" si="54"/>
        <v>Luis Felipe Sanchez</v>
      </c>
      <c r="Y152" s="24" t="str">
        <f t="shared" si="54"/>
        <v>Laura Ossa</v>
      </c>
      <c r="Z152" s="24" t="str">
        <f t="shared" si="54"/>
        <v>Elizabeth Montealegre</v>
      </c>
      <c r="AA152" s="24" t="str">
        <f t="shared" si="54"/>
        <v>Liliana Montealegre</v>
      </c>
      <c r="AB152" s="24" t="str">
        <f t="shared" si="54"/>
        <v>Javier Andres Gomez</v>
      </c>
      <c r="AC152" s="24" t="str">
        <f t="shared" si="54"/>
        <v>Diana Carolina Marin</v>
      </c>
      <c r="AD152" s="24" t="str">
        <f t="shared" si="54"/>
        <v>Diego Fernando Saavedra</v>
      </c>
      <c r="AE152" s="24" t="str">
        <f t="shared" si="54"/>
        <v>Oscar Mayor</v>
      </c>
      <c r="AF152" s="24" t="str">
        <f t="shared" si="54"/>
        <v>Ingrid Toro</v>
      </c>
      <c r="AG152" s="24" t="str">
        <f t="shared" si="54"/>
        <v>Ana Marcela Castro</v>
      </c>
      <c r="AH152" s="24" t="str">
        <f t="shared" si="54"/>
        <v>Ricardo Gutierrez</v>
      </c>
      <c r="AI152" s="24" t="str">
        <f t="shared" si="54"/>
        <v>Natalia Navarro</v>
      </c>
      <c r="AJ152" s="24" t="str">
        <f t="shared" si="54"/>
        <v>Diana Perez</v>
      </c>
      <c r="AK152" s="24" t="str">
        <f t="shared" si="54"/>
        <v>Sergio Diaz</v>
      </c>
      <c r="AL152" s="24" t="str">
        <f t="shared" si="54"/>
        <v>William Oviedo</v>
      </c>
      <c r="AM152" s="24" t="str">
        <f t="shared" si="54"/>
        <v>Armando Orjuela</v>
      </c>
      <c r="AN152" s="24" t="str">
        <f t="shared" si="54"/>
        <v xml:space="preserve">Helen Muñoz </v>
      </c>
      <c r="AO152" s="24" t="str">
        <f t="shared" si="54"/>
        <v>Julieth Cruz - Luiz Diaz</v>
      </c>
      <c r="AP152" s="24" t="str">
        <f t="shared" si="54"/>
        <v>Jose Luis Montoya</v>
      </c>
      <c r="AQ152" s="24" t="str">
        <f t="shared" ref="AQ152" si="55">AQ8</f>
        <v>Julian Useche</v>
      </c>
      <c r="AR152" s="24" t="str">
        <f t="shared" si="54"/>
        <v>Sebastian Posada</v>
      </c>
      <c r="AS152" s="24" t="str">
        <f t="shared" si="54"/>
        <v>Juan Cifuentes</v>
      </c>
      <c r="AT152" s="24" t="str">
        <f t="shared" si="54"/>
        <v>Rodrigo Dominguez</v>
      </c>
      <c r="AU152" s="24" t="str">
        <f t="shared" si="54"/>
        <v xml:space="preserve">Carlos Calero </v>
      </c>
      <c r="AV152" s="24" t="str">
        <f t="shared" si="54"/>
        <v>Lewhis Spirth Montaño</v>
      </c>
      <c r="AW152" s="24" t="str">
        <f t="shared" si="54"/>
        <v>Sebastian Castro Luna</v>
      </c>
      <c r="AX152" s="24" t="str">
        <f t="shared" si="54"/>
        <v>Francia Orozco</v>
      </c>
      <c r="AY152" s="24" t="str">
        <f t="shared" si="54"/>
        <v>Fredy Rojas</v>
      </c>
      <c r="AZ152" s="24" t="str">
        <f t="shared" si="54"/>
        <v>John Quiñonez</v>
      </c>
      <c r="BA152" s="24" t="str">
        <f t="shared" si="54"/>
        <v>Yuli Guzman</v>
      </c>
      <c r="BB152" s="24" t="str">
        <f t="shared" si="54"/>
        <v>Luis Alfredo Plaza</v>
      </c>
      <c r="BC152" s="24" t="str">
        <f t="shared" si="54"/>
        <v>Naty Bermudez</v>
      </c>
      <c r="BD152" s="24" t="str">
        <f t="shared" si="54"/>
        <v>Edgar Ivan Giraldo Duran</v>
      </c>
      <c r="BE152" s="24" t="str">
        <f t="shared" si="54"/>
        <v>Caterine Filigrana</v>
      </c>
      <c r="BF152" s="24" t="str">
        <f t="shared" si="54"/>
        <v>Adriana Belalcazar</v>
      </c>
      <c r="BG152" s="24" t="str">
        <f t="shared" si="54"/>
        <v>Angelisa Hurtado</v>
      </c>
      <c r="BH152" s="24" t="str">
        <f t="shared" si="54"/>
        <v>Isabela Muñoz</v>
      </c>
      <c r="BI152" s="24" t="str">
        <f t="shared" si="54"/>
        <v>Francisco Moreno Alvarez</v>
      </c>
      <c r="BJ152" s="24" t="str">
        <f t="shared" si="54"/>
        <v>Angelica Maria Panesso</v>
      </c>
    </row>
    <row r="153" spans="1:62" ht="20.25" customHeight="1" x14ac:dyDescent="0.25">
      <c r="A153" s="61">
        <v>10</v>
      </c>
      <c r="B153" s="14" t="s">
        <v>87</v>
      </c>
      <c r="C153" s="15"/>
      <c r="D153" s="16">
        <v>5</v>
      </c>
      <c r="E153" s="16">
        <v>6</v>
      </c>
      <c r="F153" s="16">
        <v>3</v>
      </c>
      <c r="G153" s="17">
        <v>5</v>
      </c>
      <c r="H153" s="16">
        <v>3</v>
      </c>
      <c r="I153" s="16">
        <v>5</v>
      </c>
      <c r="J153" s="16">
        <v>3</v>
      </c>
      <c r="K153" s="16">
        <v>5</v>
      </c>
      <c r="L153" s="16">
        <v>4</v>
      </c>
      <c r="M153" s="16">
        <v>4</v>
      </c>
      <c r="N153" s="16">
        <v>4</v>
      </c>
      <c r="O153" s="16">
        <v>4</v>
      </c>
      <c r="P153" s="16">
        <v>3</v>
      </c>
      <c r="Q153" s="16">
        <v>6</v>
      </c>
      <c r="R153" s="17">
        <v>6</v>
      </c>
      <c r="S153" s="16">
        <v>3</v>
      </c>
      <c r="T153" s="16">
        <v>4</v>
      </c>
      <c r="U153" s="16">
        <v>4</v>
      </c>
      <c r="V153" s="16">
        <v>3</v>
      </c>
      <c r="W153" s="16">
        <v>10</v>
      </c>
      <c r="X153" s="16">
        <v>4</v>
      </c>
      <c r="Y153" s="16">
        <v>3</v>
      </c>
      <c r="Z153" s="16">
        <v>4</v>
      </c>
      <c r="AA153" s="17">
        <v>4</v>
      </c>
      <c r="AB153" s="16">
        <v>4</v>
      </c>
      <c r="AC153" s="16">
        <v>3</v>
      </c>
      <c r="AD153" s="17">
        <v>2</v>
      </c>
      <c r="AE153" s="17">
        <v>3</v>
      </c>
      <c r="AF153" s="17">
        <v>4</v>
      </c>
      <c r="AG153" s="16">
        <v>3</v>
      </c>
      <c r="AH153" s="16">
        <v>4</v>
      </c>
      <c r="AI153" s="17">
        <v>8</v>
      </c>
      <c r="AJ153" s="16">
        <v>5</v>
      </c>
      <c r="AK153" s="16">
        <v>5</v>
      </c>
      <c r="AL153" s="16">
        <v>4</v>
      </c>
      <c r="AM153" s="16">
        <v>4</v>
      </c>
      <c r="AN153" s="16">
        <v>3</v>
      </c>
      <c r="AO153" s="16">
        <v>5</v>
      </c>
      <c r="AP153" s="17">
        <v>5</v>
      </c>
      <c r="AQ153" s="16">
        <v>3</v>
      </c>
      <c r="AR153" s="17">
        <v>4</v>
      </c>
      <c r="AS153" s="17">
        <v>4</v>
      </c>
      <c r="AT153" s="16">
        <v>2</v>
      </c>
      <c r="AU153" s="17">
        <v>3</v>
      </c>
      <c r="AV153" s="16">
        <v>3</v>
      </c>
      <c r="AW153" s="16">
        <v>4</v>
      </c>
      <c r="AX153" s="16">
        <v>4</v>
      </c>
      <c r="AY153" s="16">
        <v>3</v>
      </c>
      <c r="AZ153" s="16">
        <v>6</v>
      </c>
      <c r="BA153" s="16">
        <v>2</v>
      </c>
      <c r="BB153" s="16">
        <v>4</v>
      </c>
      <c r="BC153" s="17">
        <v>2</v>
      </c>
      <c r="BD153" s="16">
        <v>6</v>
      </c>
      <c r="BE153" s="17">
        <v>3</v>
      </c>
      <c r="BF153" s="17">
        <v>4</v>
      </c>
      <c r="BG153" s="16">
        <v>3</v>
      </c>
      <c r="BH153" s="17">
        <v>5</v>
      </c>
      <c r="BI153" s="16">
        <v>6</v>
      </c>
      <c r="BJ153" s="16">
        <v>2</v>
      </c>
    </row>
    <row r="154" spans="1:62" ht="20.25" customHeight="1" x14ac:dyDescent="0.25">
      <c r="A154" s="62"/>
      <c r="B154" s="14" t="s">
        <v>88</v>
      </c>
      <c r="C154" s="15"/>
      <c r="D154" s="16">
        <v>0</v>
      </c>
      <c r="E154" s="16">
        <v>0</v>
      </c>
      <c r="F154" s="16">
        <v>1</v>
      </c>
      <c r="G154" s="17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7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1</v>
      </c>
      <c r="X154" s="16">
        <v>0</v>
      </c>
      <c r="Y154" s="16">
        <v>0</v>
      </c>
      <c r="Z154" s="16">
        <v>0</v>
      </c>
      <c r="AA154" s="17">
        <v>0</v>
      </c>
      <c r="AB154" s="16">
        <v>0</v>
      </c>
      <c r="AC154" s="16">
        <v>0</v>
      </c>
      <c r="AD154" s="17">
        <v>0</v>
      </c>
      <c r="AE154" s="17">
        <v>0</v>
      </c>
      <c r="AF154" s="17">
        <v>0</v>
      </c>
      <c r="AG154" s="16">
        <v>0</v>
      </c>
      <c r="AH154" s="16">
        <v>0</v>
      </c>
      <c r="AI154" s="17">
        <v>1</v>
      </c>
      <c r="AJ154" s="16">
        <v>0</v>
      </c>
      <c r="AK154" s="16">
        <v>0</v>
      </c>
      <c r="AL154" s="16">
        <v>1</v>
      </c>
      <c r="AM154" s="16">
        <v>0</v>
      </c>
      <c r="AN154" s="16">
        <v>0</v>
      </c>
      <c r="AO154" s="16">
        <v>0</v>
      </c>
      <c r="AP154" s="17">
        <v>0</v>
      </c>
      <c r="AQ154" s="16">
        <v>0</v>
      </c>
      <c r="AR154" s="17">
        <v>0</v>
      </c>
      <c r="AS154" s="17">
        <v>0</v>
      </c>
      <c r="AT154" s="16">
        <v>0</v>
      </c>
      <c r="AU154" s="17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7">
        <v>0</v>
      </c>
      <c r="BD154" s="16">
        <v>0</v>
      </c>
      <c r="BE154" s="17">
        <v>0</v>
      </c>
      <c r="BF154" s="17">
        <v>0</v>
      </c>
      <c r="BG154" s="16">
        <v>0</v>
      </c>
      <c r="BH154" s="17">
        <v>0</v>
      </c>
      <c r="BI154" s="16">
        <v>0</v>
      </c>
      <c r="BJ154" s="16">
        <v>0</v>
      </c>
    </row>
    <row r="155" spans="1:62" ht="15.75" customHeight="1" x14ac:dyDescent="0.25">
      <c r="A155" s="62"/>
      <c r="B155" s="18">
        <v>46187</v>
      </c>
      <c r="C155" s="60" t="s">
        <v>65</v>
      </c>
      <c r="D155" s="55">
        <f t="shared" ref="D155:BJ155" si="56">IF($C153="",0,IF(AND(D153=$C153,D154=$C154),5,IF(OR(AND(D153-D154&gt;0,$C153-$C154&gt;0),AND(D154-D153&gt;0,$C154-$C153&gt;0),AND(D153-D154=0,$C153-$C154=0)),2,0)+IF(OR(D153=$C153,D154=$C154),1,0)))</f>
        <v>0</v>
      </c>
      <c r="E155" s="55">
        <f t="shared" si="56"/>
        <v>0</v>
      </c>
      <c r="F155" s="55">
        <f t="shared" si="56"/>
        <v>0</v>
      </c>
      <c r="G155" s="55">
        <f t="shared" si="56"/>
        <v>0</v>
      </c>
      <c r="H155" s="55">
        <f t="shared" si="56"/>
        <v>0</v>
      </c>
      <c r="I155" s="55">
        <f t="shared" si="56"/>
        <v>0</v>
      </c>
      <c r="J155" s="55">
        <f t="shared" si="56"/>
        <v>0</v>
      </c>
      <c r="K155" s="55">
        <f t="shared" si="56"/>
        <v>0</v>
      </c>
      <c r="L155" s="55">
        <f t="shared" si="56"/>
        <v>0</v>
      </c>
      <c r="M155" s="55">
        <f t="shared" si="56"/>
        <v>0</v>
      </c>
      <c r="N155" s="55">
        <f t="shared" si="56"/>
        <v>0</v>
      </c>
      <c r="O155" s="55">
        <f t="shared" si="56"/>
        <v>0</v>
      </c>
      <c r="P155" s="55">
        <f t="shared" si="56"/>
        <v>0</v>
      </c>
      <c r="Q155" s="55">
        <f t="shared" si="56"/>
        <v>0</v>
      </c>
      <c r="R155" s="55">
        <f t="shared" si="56"/>
        <v>0</v>
      </c>
      <c r="S155" s="55">
        <f t="shared" si="56"/>
        <v>0</v>
      </c>
      <c r="T155" s="55">
        <f t="shared" si="56"/>
        <v>0</v>
      </c>
      <c r="U155" s="55">
        <f t="shared" si="56"/>
        <v>0</v>
      </c>
      <c r="V155" s="55">
        <f t="shared" si="56"/>
        <v>0</v>
      </c>
      <c r="W155" s="55">
        <f t="shared" si="56"/>
        <v>0</v>
      </c>
      <c r="X155" s="55">
        <f t="shared" si="56"/>
        <v>0</v>
      </c>
      <c r="Y155" s="55">
        <f t="shared" si="56"/>
        <v>0</v>
      </c>
      <c r="Z155" s="55">
        <f t="shared" si="56"/>
        <v>0</v>
      </c>
      <c r="AA155" s="55">
        <f t="shared" si="56"/>
        <v>0</v>
      </c>
      <c r="AB155" s="55">
        <f t="shared" si="56"/>
        <v>0</v>
      </c>
      <c r="AC155" s="55">
        <f t="shared" si="56"/>
        <v>0</v>
      </c>
      <c r="AD155" s="55">
        <f t="shared" si="56"/>
        <v>0</v>
      </c>
      <c r="AE155" s="55">
        <f t="shared" si="56"/>
        <v>0</v>
      </c>
      <c r="AF155" s="55">
        <f t="shared" si="56"/>
        <v>0</v>
      </c>
      <c r="AG155" s="55">
        <f t="shared" si="56"/>
        <v>0</v>
      </c>
      <c r="AH155" s="55">
        <f t="shared" si="56"/>
        <v>0</v>
      </c>
      <c r="AI155" s="55">
        <f t="shared" si="56"/>
        <v>0</v>
      </c>
      <c r="AJ155" s="55">
        <f t="shared" si="56"/>
        <v>0</v>
      </c>
      <c r="AK155" s="55">
        <f t="shared" si="56"/>
        <v>0</v>
      </c>
      <c r="AL155" s="55">
        <f t="shared" si="56"/>
        <v>0</v>
      </c>
      <c r="AM155" s="55">
        <f t="shared" si="56"/>
        <v>0</v>
      </c>
      <c r="AN155" s="55">
        <f t="shared" si="56"/>
        <v>0</v>
      </c>
      <c r="AO155" s="55">
        <f t="shared" si="56"/>
        <v>0</v>
      </c>
      <c r="AP155" s="55">
        <f t="shared" si="56"/>
        <v>0</v>
      </c>
      <c r="AQ155" s="55">
        <f t="shared" ref="AQ155" si="57">IF($C153="",0,IF(AND(AQ153=$C153,AQ154=$C154),5,IF(OR(AND(AQ153-AQ154&gt;0,$C153-$C154&gt;0),AND(AQ154-AQ153&gt;0,$C154-$C153&gt;0),AND(AQ153-AQ154=0,$C153-$C154=0)),2,0)+IF(OR(AQ153=$C153,AQ154=$C154),1,0)))</f>
        <v>0</v>
      </c>
      <c r="AR155" s="55">
        <f t="shared" si="56"/>
        <v>0</v>
      </c>
      <c r="AS155" s="55">
        <f t="shared" si="56"/>
        <v>0</v>
      </c>
      <c r="AT155" s="55">
        <f t="shared" si="56"/>
        <v>0</v>
      </c>
      <c r="AU155" s="55">
        <f t="shared" si="56"/>
        <v>0</v>
      </c>
      <c r="AV155" s="55">
        <f t="shared" si="56"/>
        <v>0</v>
      </c>
      <c r="AW155" s="55">
        <f t="shared" si="56"/>
        <v>0</v>
      </c>
      <c r="AX155" s="55">
        <f t="shared" si="56"/>
        <v>0</v>
      </c>
      <c r="AY155" s="55">
        <f t="shared" si="56"/>
        <v>0</v>
      </c>
      <c r="AZ155" s="55">
        <f t="shared" si="56"/>
        <v>0</v>
      </c>
      <c r="BA155" s="55">
        <f t="shared" si="56"/>
        <v>0</v>
      </c>
      <c r="BB155" s="55">
        <f t="shared" si="56"/>
        <v>0</v>
      </c>
      <c r="BC155" s="55">
        <f t="shared" si="56"/>
        <v>0</v>
      </c>
      <c r="BD155" s="55">
        <f t="shared" si="56"/>
        <v>0</v>
      </c>
      <c r="BE155" s="55">
        <f t="shared" si="56"/>
        <v>0</v>
      </c>
      <c r="BF155" s="55">
        <f t="shared" si="56"/>
        <v>0</v>
      </c>
      <c r="BG155" s="55">
        <f t="shared" si="56"/>
        <v>0</v>
      </c>
      <c r="BH155" s="55">
        <f t="shared" si="56"/>
        <v>0</v>
      </c>
      <c r="BI155" s="55">
        <f t="shared" si="56"/>
        <v>0</v>
      </c>
      <c r="BJ155" s="55">
        <f t="shared" si="56"/>
        <v>0</v>
      </c>
    </row>
    <row r="156" spans="1:62" ht="15.75" customHeight="1" x14ac:dyDescent="0.25">
      <c r="A156" s="62"/>
      <c r="B156" s="19">
        <v>0</v>
      </c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</row>
    <row r="157" spans="1:62" ht="15.75" customHeight="1" x14ac:dyDescent="0.25">
      <c r="A157" s="13"/>
      <c r="B157" s="13"/>
      <c r="C157" s="13"/>
      <c r="D157" s="2"/>
      <c r="E157" s="2"/>
      <c r="F157" s="2"/>
      <c r="G157" s="2"/>
      <c r="H157" s="3"/>
      <c r="I157" s="3"/>
      <c r="J157" s="3"/>
    </row>
    <row r="158" spans="1:62" ht="22.5" customHeight="1" x14ac:dyDescent="0.25">
      <c r="A158" s="61">
        <v>9</v>
      </c>
      <c r="B158" s="14" t="s">
        <v>89</v>
      </c>
      <c r="C158" s="15"/>
      <c r="D158" s="16">
        <v>1</v>
      </c>
      <c r="E158" s="16">
        <v>2</v>
      </c>
      <c r="F158" s="16">
        <v>0</v>
      </c>
      <c r="G158" s="17">
        <v>0</v>
      </c>
      <c r="H158" s="16">
        <v>1</v>
      </c>
      <c r="I158" s="16">
        <v>1</v>
      </c>
      <c r="J158" s="16">
        <v>1</v>
      </c>
      <c r="K158" s="16">
        <v>2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0</v>
      </c>
      <c r="R158" s="17">
        <v>1</v>
      </c>
      <c r="S158" s="16">
        <v>1</v>
      </c>
      <c r="T158" s="16">
        <v>1</v>
      </c>
      <c r="U158" s="16">
        <v>0</v>
      </c>
      <c r="V158" s="16">
        <v>1</v>
      </c>
      <c r="W158" s="16">
        <v>1</v>
      </c>
      <c r="X158" s="16">
        <v>2</v>
      </c>
      <c r="Y158" s="16">
        <v>1</v>
      </c>
      <c r="Z158" s="16">
        <v>2</v>
      </c>
      <c r="AA158" s="17">
        <v>1</v>
      </c>
      <c r="AB158" s="16">
        <v>1</v>
      </c>
      <c r="AC158" s="16">
        <v>1</v>
      </c>
      <c r="AD158" s="17">
        <v>0</v>
      </c>
      <c r="AE158" s="17">
        <v>1</v>
      </c>
      <c r="AF158" s="17">
        <v>1</v>
      </c>
      <c r="AG158" s="16">
        <v>2</v>
      </c>
      <c r="AH158" s="16">
        <v>1</v>
      </c>
      <c r="AI158" s="17">
        <v>1</v>
      </c>
      <c r="AJ158" s="16">
        <v>0</v>
      </c>
      <c r="AK158" s="16">
        <v>1</v>
      </c>
      <c r="AL158" s="16">
        <v>2</v>
      </c>
      <c r="AM158" s="16">
        <v>2</v>
      </c>
      <c r="AN158" s="16">
        <v>1</v>
      </c>
      <c r="AO158" s="16">
        <v>1</v>
      </c>
      <c r="AP158" s="17">
        <v>2</v>
      </c>
      <c r="AQ158" s="16">
        <v>1</v>
      </c>
      <c r="AR158" s="17">
        <v>0</v>
      </c>
      <c r="AS158" s="17">
        <v>1</v>
      </c>
      <c r="AT158" s="16">
        <v>1</v>
      </c>
      <c r="AU158" s="17">
        <v>0</v>
      </c>
      <c r="AV158" s="16">
        <v>1</v>
      </c>
      <c r="AW158" s="16">
        <v>1</v>
      </c>
      <c r="AX158" s="16">
        <v>1</v>
      </c>
      <c r="AY158" s="16">
        <v>1</v>
      </c>
      <c r="AZ158" s="16">
        <v>0</v>
      </c>
      <c r="BA158" s="16">
        <v>0</v>
      </c>
      <c r="BB158" s="16">
        <v>1</v>
      </c>
      <c r="BC158" s="17">
        <v>1</v>
      </c>
      <c r="BD158" s="16">
        <v>0</v>
      </c>
      <c r="BE158" s="17">
        <v>1</v>
      </c>
      <c r="BF158" s="17">
        <v>1</v>
      </c>
      <c r="BG158" s="16">
        <v>2</v>
      </c>
      <c r="BH158" s="17">
        <v>0</v>
      </c>
      <c r="BI158" s="16">
        <v>1</v>
      </c>
      <c r="BJ158" s="16">
        <v>2</v>
      </c>
    </row>
    <row r="159" spans="1:62" ht="21" customHeight="1" x14ac:dyDescent="0.25">
      <c r="A159" s="62"/>
      <c r="B159" s="14" t="s">
        <v>90</v>
      </c>
      <c r="C159" s="15"/>
      <c r="D159" s="16">
        <v>1</v>
      </c>
      <c r="E159" s="16">
        <v>2</v>
      </c>
      <c r="F159" s="16">
        <v>2</v>
      </c>
      <c r="G159" s="17">
        <v>0</v>
      </c>
      <c r="H159" s="16">
        <v>1</v>
      </c>
      <c r="I159" s="16">
        <v>3</v>
      </c>
      <c r="J159" s="16">
        <v>2</v>
      </c>
      <c r="K159" s="16">
        <v>2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  <c r="R159" s="17">
        <v>1</v>
      </c>
      <c r="S159" s="16">
        <v>1</v>
      </c>
      <c r="T159" s="16">
        <v>1</v>
      </c>
      <c r="U159" s="16">
        <v>1</v>
      </c>
      <c r="V159" s="16">
        <v>1</v>
      </c>
      <c r="W159" s="16">
        <v>2</v>
      </c>
      <c r="X159" s="16">
        <v>1</v>
      </c>
      <c r="Y159" s="16">
        <v>2</v>
      </c>
      <c r="Z159" s="16">
        <v>1</v>
      </c>
      <c r="AA159" s="17">
        <v>1</v>
      </c>
      <c r="AB159" s="16">
        <v>1</v>
      </c>
      <c r="AC159" s="16">
        <v>1</v>
      </c>
      <c r="AD159" s="17">
        <v>2</v>
      </c>
      <c r="AE159" s="17">
        <v>2</v>
      </c>
      <c r="AF159" s="17">
        <v>1</v>
      </c>
      <c r="AG159" s="16">
        <v>1</v>
      </c>
      <c r="AH159" s="16">
        <v>1</v>
      </c>
      <c r="AI159" s="17">
        <v>1</v>
      </c>
      <c r="AJ159" s="16">
        <v>5</v>
      </c>
      <c r="AK159" s="16">
        <v>2</v>
      </c>
      <c r="AL159" s="16">
        <v>2</v>
      </c>
      <c r="AM159" s="16">
        <v>2</v>
      </c>
      <c r="AN159" s="16">
        <v>1</v>
      </c>
      <c r="AO159" s="16">
        <v>2</v>
      </c>
      <c r="AP159" s="17">
        <v>1</v>
      </c>
      <c r="AQ159" s="16">
        <v>1</v>
      </c>
      <c r="AR159" s="17">
        <v>2</v>
      </c>
      <c r="AS159" s="17">
        <v>2</v>
      </c>
      <c r="AT159" s="16">
        <v>1</v>
      </c>
      <c r="AU159" s="17">
        <v>1</v>
      </c>
      <c r="AV159" s="16">
        <v>2</v>
      </c>
      <c r="AW159" s="16">
        <v>1</v>
      </c>
      <c r="AX159" s="16">
        <v>2</v>
      </c>
      <c r="AY159" s="16">
        <v>2</v>
      </c>
      <c r="AZ159" s="16">
        <v>1</v>
      </c>
      <c r="BA159" s="16">
        <v>3</v>
      </c>
      <c r="BB159" s="16">
        <v>2</v>
      </c>
      <c r="BC159" s="17">
        <v>1</v>
      </c>
      <c r="BD159" s="16">
        <v>2</v>
      </c>
      <c r="BE159" s="17">
        <v>2</v>
      </c>
      <c r="BF159" s="17">
        <v>1</v>
      </c>
      <c r="BG159" s="16">
        <v>1</v>
      </c>
      <c r="BH159" s="17">
        <v>1</v>
      </c>
      <c r="BI159" s="16">
        <v>2</v>
      </c>
      <c r="BJ159" s="16">
        <v>2</v>
      </c>
    </row>
    <row r="160" spans="1:62" ht="15.75" customHeight="1" x14ac:dyDescent="0.25">
      <c r="A160" s="62"/>
      <c r="B160" s="18">
        <v>46187</v>
      </c>
      <c r="C160" s="60" t="s">
        <v>65</v>
      </c>
      <c r="D160" s="55">
        <f t="shared" ref="D160:BJ160" si="58">IF($C158="",0,IF(AND(D158=$C158,D159=$C159),5,IF(OR(AND(D158-D159&gt;0,$C158-$C159&gt;0),AND(D159-D158&gt;0,$C159-$C158&gt;0),AND(D158-D159=0,$C158-$C159=0)),2,0)+IF(OR(D158=$C158,D159=$C159),1,0)))</f>
        <v>0</v>
      </c>
      <c r="E160" s="55">
        <f t="shared" si="58"/>
        <v>0</v>
      </c>
      <c r="F160" s="55">
        <f t="shared" si="58"/>
        <v>0</v>
      </c>
      <c r="G160" s="55">
        <f t="shared" si="58"/>
        <v>0</v>
      </c>
      <c r="H160" s="55">
        <f t="shared" si="58"/>
        <v>0</v>
      </c>
      <c r="I160" s="55">
        <f t="shared" si="58"/>
        <v>0</v>
      </c>
      <c r="J160" s="55">
        <f t="shared" si="58"/>
        <v>0</v>
      </c>
      <c r="K160" s="55">
        <f t="shared" si="58"/>
        <v>0</v>
      </c>
      <c r="L160" s="55">
        <f t="shared" si="58"/>
        <v>0</v>
      </c>
      <c r="M160" s="55">
        <f t="shared" si="58"/>
        <v>0</v>
      </c>
      <c r="N160" s="55">
        <f t="shared" si="58"/>
        <v>0</v>
      </c>
      <c r="O160" s="55">
        <f t="shared" si="58"/>
        <v>0</v>
      </c>
      <c r="P160" s="55">
        <f t="shared" si="58"/>
        <v>0</v>
      </c>
      <c r="Q160" s="55">
        <f t="shared" si="58"/>
        <v>0</v>
      </c>
      <c r="R160" s="55">
        <f t="shared" si="58"/>
        <v>0</v>
      </c>
      <c r="S160" s="55">
        <f t="shared" si="58"/>
        <v>0</v>
      </c>
      <c r="T160" s="55">
        <f t="shared" si="58"/>
        <v>0</v>
      </c>
      <c r="U160" s="55">
        <f t="shared" si="58"/>
        <v>0</v>
      </c>
      <c r="V160" s="55">
        <f t="shared" si="58"/>
        <v>0</v>
      </c>
      <c r="W160" s="55">
        <f t="shared" si="58"/>
        <v>0</v>
      </c>
      <c r="X160" s="55">
        <f t="shared" si="58"/>
        <v>0</v>
      </c>
      <c r="Y160" s="55">
        <f t="shared" si="58"/>
        <v>0</v>
      </c>
      <c r="Z160" s="55">
        <f t="shared" si="58"/>
        <v>0</v>
      </c>
      <c r="AA160" s="55">
        <f t="shared" si="58"/>
        <v>0</v>
      </c>
      <c r="AB160" s="55">
        <f t="shared" si="58"/>
        <v>0</v>
      </c>
      <c r="AC160" s="55">
        <f t="shared" si="58"/>
        <v>0</v>
      </c>
      <c r="AD160" s="55">
        <f t="shared" si="58"/>
        <v>0</v>
      </c>
      <c r="AE160" s="55">
        <f t="shared" si="58"/>
        <v>0</v>
      </c>
      <c r="AF160" s="55">
        <f t="shared" si="58"/>
        <v>0</v>
      </c>
      <c r="AG160" s="55">
        <f t="shared" si="58"/>
        <v>0</v>
      </c>
      <c r="AH160" s="55">
        <f t="shared" si="58"/>
        <v>0</v>
      </c>
      <c r="AI160" s="55">
        <f t="shared" si="58"/>
        <v>0</v>
      </c>
      <c r="AJ160" s="55">
        <f t="shared" si="58"/>
        <v>0</v>
      </c>
      <c r="AK160" s="55">
        <f t="shared" si="58"/>
        <v>0</v>
      </c>
      <c r="AL160" s="55">
        <f t="shared" si="58"/>
        <v>0</v>
      </c>
      <c r="AM160" s="55">
        <f t="shared" si="58"/>
        <v>0</v>
      </c>
      <c r="AN160" s="55">
        <f t="shared" si="58"/>
        <v>0</v>
      </c>
      <c r="AO160" s="55">
        <f t="shared" si="58"/>
        <v>0</v>
      </c>
      <c r="AP160" s="55">
        <f t="shared" si="58"/>
        <v>0</v>
      </c>
      <c r="AQ160" s="55">
        <f t="shared" ref="AQ160" si="59">IF($C158="",0,IF(AND(AQ158=$C158,AQ159=$C159),5,IF(OR(AND(AQ158-AQ159&gt;0,$C158-$C159&gt;0),AND(AQ159-AQ158&gt;0,$C159-$C158&gt;0),AND(AQ158-AQ159=0,$C158-$C159=0)),2,0)+IF(OR(AQ158=$C158,AQ159=$C159),1,0)))</f>
        <v>0</v>
      </c>
      <c r="AR160" s="55">
        <f t="shared" si="58"/>
        <v>0</v>
      </c>
      <c r="AS160" s="55">
        <f t="shared" si="58"/>
        <v>0</v>
      </c>
      <c r="AT160" s="55">
        <f t="shared" si="58"/>
        <v>0</v>
      </c>
      <c r="AU160" s="55">
        <f t="shared" si="58"/>
        <v>0</v>
      </c>
      <c r="AV160" s="55">
        <f t="shared" si="58"/>
        <v>0</v>
      </c>
      <c r="AW160" s="55">
        <f t="shared" si="58"/>
        <v>0</v>
      </c>
      <c r="AX160" s="55">
        <f t="shared" si="58"/>
        <v>0</v>
      </c>
      <c r="AY160" s="55">
        <f t="shared" si="58"/>
        <v>0</v>
      </c>
      <c r="AZ160" s="55">
        <f t="shared" si="58"/>
        <v>0</v>
      </c>
      <c r="BA160" s="55">
        <f t="shared" si="58"/>
        <v>0</v>
      </c>
      <c r="BB160" s="55">
        <f t="shared" si="58"/>
        <v>0</v>
      </c>
      <c r="BC160" s="55">
        <f t="shared" si="58"/>
        <v>0</v>
      </c>
      <c r="BD160" s="55">
        <f t="shared" si="58"/>
        <v>0</v>
      </c>
      <c r="BE160" s="55">
        <f t="shared" si="58"/>
        <v>0</v>
      </c>
      <c r="BF160" s="55">
        <f t="shared" si="58"/>
        <v>0</v>
      </c>
      <c r="BG160" s="55">
        <f t="shared" si="58"/>
        <v>0</v>
      </c>
      <c r="BH160" s="55">
        <f t="shared" si="58"/>
        <v>0</v>
      </c>
      <c r="BI160" s="55">
        <f t="shared" si="58"/>
        <v>0</v>
      </c>
      <c r="BJ160" s="55">
        <f t="shared" si="58"/>
        <v>0</v>
      </c>
    </row>
    <row r="161" spans="1:62" ht="15.75" customHeight="1" x14ac:dyDescent="0.25">
      <c r="A161" s="62"/>
      <c r="B161" s="19">
        <v>0.75</v>
      </c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</row>
    <row r="162" spans="1:62" ht="15.75" customHeight="1" x14ac:dyDescent="0.25">
      <c r="A162" s="13"/>
      <c r="B162" s="13"/>
      <c r="C162" s="20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</row>
    <row r="163" spans="1:62" ht="22.5" customHeight="1" x14ac:dyDescent="0.25">
      <c r="A163" s="61">
        <v>33</v>
      </c>
      <c r="B163" s="14" t="s">
        <v>87</v>
      </c>
      <c r="C163" s="15"/>
      <c r="D163" s="16">
        <v>2</v>
      </c>
      <c r="E163" s="16">
        <v>3</v>
      </c>
      <c r="F163" s="16">
        <v>3</v>
      </c>
      <c r="G163" s="17">
        <v>2</v>
      </c>
      <c r="H163" s="16">
        <v>2</v>
      </c>
      <c r="I163" s="16">
        <v>4</v>
      </c>
      <c r="J163" s="16">
        <v>2</v>
      </c>
      <c r="K163" s="16">
        <v>2</v>
      </c>
      <c r="L163" s="16">
        <v>2</v>
      </c>
      <c r="M163" s="16">
        <v>2</v>
      </c>
      <c r="N163" s="16">
        <v>2</v>
      </c>
      <c r="O163" s="16">
        <v>2</v>
      </c>
      <c r="P163" s="16">
        <v>3</v>
      </c>
      <c r="Q163" s="16">
        <v>3</v>
      </c>
      <c r="R163" s="17">
        <v>3</v>
      </c>
      <c r="S163" s="16">
        <v>2</v>
      </c>
      <c r="T163" s="16">
        <v>3</v>
      </c>
      <c r="U163" s="16">
        <v>3</v>
      </c>
      <c r="V163" s="16">
        <v>2</v>
      </c>
      <c r="W163" s="16">
        <v>3</v>
      </c>
      <c r="X163" s="16">
        <v>3</v>
      </c>
      <c r="Y163" s="16">
        <v>2</v>
      </c>
      <c r="Z163" s="16">
        <v>3</v>
      </c>
      <c r="AA163" s="17">
        <v>0</v>
      </c>
      <c r="AB163" s="16">
        <v>3</v>
      </c>
      <c r="AC163" s="16">
        <v>2</v>
      </c>
      <c r="AD163" s="17">
        <v>4</v>
      </c>
      <c r="AE163" s="17">
        <v>2</v>
      </c>
      <c r="AF163" s="17">
        <v>2</v>
      </c>
      <c r="AG163" s="16">
        <v>2</v>
      </c>
      <c r="AH163" s="16">
        <v>2</v>
      </c>
      <c r="AI163" s="17">
        <v>2</v>
      </c>
      <c r="AJ163" s="16">
        <v>5</v>
      </c>
      <c r="AK163" s="16">
        <v>3</v>
      </c>
      <c r="AL163" s="16">
        <v>3</v>
      </c>
      <c r="AM163" s="16">
        <v>2</v>
      </c>
      <c r="AN163" s="16">
        <v>2</v>
      </c>
      <c r="AO163" s="16">
        <v>2</v>
      </c>
      <c r="AP163" s="17">
        <v>2</v>
      </c>
      <c r="AQ163" s="16">
        <v>2</v>
      </c>
      <c r="AR163" s="17">
        <v>3</v>
      </c>
      <c r="AS163" s="17">
        <v>2</v>
      </c>
      <c r="AT163" s="16">
        <v>2</v>
      </c>
      <c r="AU163" s="17">
        <v>2</v>
      </c>
      <c r="AV163" s="16">
        <v>1</v>
      </c>
      <c r="AW163" s="16">
        <v>3</v>
      </c>
      <c r="AX163" s="16">
        <v>3</v>
      </c>
      <c r="AY163" s="16">
        <v>2</v>
      </c>
      <c r="AZ163" s="16">
        <v>2</v>
      </c>
      <c r="BA163" s="16">
        <v>4</v>
      </c>
      <c r="BB163" s="16">
        <v>3</v>
      </c>
      <c r="BC163" s="17">
        <v>3</v>
      </c>
      <c r="BD163" s="16">
        <v>3</v>
      </c>
      <c r="BE163" s="17">
        <v>2</v>
      </c>
      <c r="BF163" s="17">
        <v>3</v>
      </c>
      <c r="BG163" s="16">
        <v>2</v>
      </c>
      <c r="BH163" s="17">
        <v>2</v>
      </c>
      <c r="BI163" s="16">
        <v>4</v>
      </c>
      <c r="BJ163" s="16">
        <v>2</v>
      </c>
    </row>
    <row r="164" spans="1:62" ht="24" customHeight="1" x14ac:dyDescent="0.25">
      <c r="A164" s="62"/>
      <c r="B164" s="14" t="s">
        <v>89</v>
      </c>
      <c r="C164" s="15"/>
      <c r="D164" s="16">
        <v>0</v>
      </c>
      <c r="E164" s="16">
        <v>1</v>
      </c>
      <c r="F164" s="16">
        <v>0</v>
      </c>
      <c r="G164" s="17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0</v>
      </c>
      <c r="N164" s="16">
        <v>1</v>
      </c>
      <c r="O164" s="16">
        <v>1</v>
      </c>
      <c r="P164" s="16">
        <v>1</v>
      </c>
      <c r="Q164" s="16">
        <v>1</v>
      </c>
      <c r="R164" s="17">
        <v>1</v>
      </c>
      <c r="S164" s="16">
        <v>1</v>
      </c>
      <c r="T164" s="16">
        <v>1</v>
      </c>
      <c r="U164" s="16">
        <v>1</v>
      </c>
      <c r="V164" s="16">
        <v>1</v>
      </c>
      <c r="W164" s="16">
        <v>2</v>
      </c>
      <c r="X164" s="16">
        <v>1</v>
      </c>
      <c r="Y164" s="16">
        <v>1</v>
      </c>
      <c r="Z164" s="16">
        <v>1</v>
      </c>
      <c r="AA164" s="17">
        <v>0</v>
      </c>
      <c r="AB164" s="16">
        <v>0</v>
      </c>
      <c r="AC164" s="16">
        <v>1</v>
      </c>
      <c r="AD164" s="17">
        <v>0</v>
      </c>
      <c r="AE164" s="17">
        <v>1</v>
      </c>
      <c r="AF164" s="17">
        <v>1</v>
      </c>
      <c r="AG164" s="16">
        <v>1</v>
      </c>
      <c r="AH164" s="16">
        <v>1</v>
      </c>
      <c r="AI164" s="17">
        <v>2</v>
      </c>
      <c r="AJ164" s="16">
        <v>0</v>
      </c>
      <c r="AK164" s="16">
        <v>1</v>
      </c>
      <c r="AL164" s="16">
        <v>1</v>
      </c>
      <c r="AM164" s="16">
        <v>1</v>
      </c>
      <c r="AN164" s="16">
        <v>1</v>
      </c>
      <c r="AO164" s="16">
        <v>0</v>
      </c>
      <c r="AP164" s="17">
        <v>0</v>
      </c>
      <c r="AQ164" s="16">
        <v>1</v>
      </c>
      <c r="AR164" s="17">
        <v>1</v>
      </c>
      <c r="AS164" s="17">
        <v>0</v>
      </c>
      <c r="AT164" s="16">
        <v>1</v>
      </c>
      <c r="AU164" s="17">
        <v>0</v>
      </c>
      <c r="AV164" s="16">
        <v>1</v>
      </c>
      <c r="AW164" s="16">
        <v>0</v>
      </c>
      <c r="AX164" s="16">
        <v>0</v>
      </c>
      <c r="AY164" s="16">
        <v>1</v>
      </c>
      <c r="AZ164" s="16">
        <v>1</v>
      </c>
      <c r="BA164" s="16">
        <v>0</v>
      </c>
      <c r="BB164" s="16">
        <v>0</v>
      </c>
      <c r="BC164" s="17">
        <v>1</v>
      </c>
      <c r="BD164" s="16">
        <v>0</v>
      </c>
      <c r="BE164" s="17">
        <v>0</v>
      </c>
      <c r="BF164" s="17">
        <v>1</v>
      </c>
      <c r="BG164" s="16">
        <v>1</v>
      </c>
      <c r="BH164" s="17">
        <v>0</v>
      </c>
      <c r="BI164" s="16">
        <v>1</v>
      </c>
      <c r="BJ164" s="16">
        <v>0</v>
      </c>
    </row>
    <row r="165" spans="1:62" ht="15.75" customHeight="1" x14ac:dyDescent="0.25">
      <c r="A165" s="62"/>
      <c r="B165" s="18">
        <v>46193</v>
      </c>
      <c r="C165" s="60" t="s">
        <v>65</v>
      </c>
      <c r="D165" s="55">
        <f t="shared" ref="D165:BJ165" si="60">IF($C163="",0,IF(AND(D163=$C163,D164=$C164),5,IF(OR(AND(D163-D164&gt;0,$C163-$C164&gt;0),AND(D164-D163&gt;0,$C164-$C163&gt;0),AND(D163-D164=0,$C163-$C164=0)),2,0)+IF(OR(D163=$C163,D164=$C164),1,0)))</f>
        <v>0</v>
      </c>
      <c r="E165" s="55">
        <f t="shared" si="60"/>
        <v>0</v>
      </c>
      <c r="F165" s="55">
        <f t="shared" si="60"/>
        <v>0</v>
      </c>
      <c r="G165" s="55">
        <f t="shared" si="60"/>
        <v>0</v>
      </c>
      <c r="H165" s="55">
        <f t="shared" si="60"/>
        <v>0</v>
      </c>
      <c r="I165" s="55">
        <f t="shared" si="60"/>
        <v>0</v>
      </c>
      <c r="J165" s="55">
        <f t="shared" si="60"/>
        <v>0</v>
      </c>
      <c r="K165" s="55">
        <f t="shared" si="60"/>
        <v>0</v>
      </c>
      <c r="L165" s="55">
        <f t="shared" si="60"/>
        <v>0</v>
      </c>
      <c r="M165" s="55">
        <f t="shared" si="60"/>
        <v>0</v>
      </c>
      <c r="N165" s="55">
        <f t="shared" si="60"/>
        <v>0</v>
      </c>
      <c r="O165" s="55">
        <f t="shared" si="60"/>
        <v>0</v>
      </c>
      <c r="P165" s="55">
        <f t="shared" si="60"/>
        <v>0</v>
      </c>
      <c r="Q165" s="55">
        <f t="shared" si="60"/>
        <v>0</v>
      </c>
      <c r="R165" s="55">
        <f t="shared" si="60"/>
        <v>0</v>
      </c>
      <c r="S165" s="55">
        <f t="shared" si="60"/>
        <v>0</v>
      </c>
      <c r="T165" s="55">
        <f t="shared" si="60"/>
        <v>0</v>
      </c>
      <c r="U165" s="55">
        <f t="shared" si="60"/>
        <v>0</v>
      </c>
      <c r="V165" s="55">
        <f t="shared" si="60"/>
        <v>0</v>
      </c>
      <c r="W165" s="55">
        <f t="shared" si="60"/>
        <v>0</v>
      </c>
      <c r="X165" s="55">
        <f t="shared" si="60"/>
        <v>0</v>
      </c>
      <c r="Y165" s="55">
        <f t="shared" si="60"/>
        <v>0</v>
      </c>
      <c r="Z165" s="55">
        <f t="shared" si="60"/>
        <v>0</v>
      </c>
      <c r="AA165" s="55">
        <f t="shared" si="60"/>
        <v>0</v>
      </c>
      <c r="AB165" s="55">
        <f t="shared" si="60"/>
        <v>0</v>
      </c>
      <c r="AC165" s="55">
        <f t="shared" si="60"/>
        <v>0</v>
      </c>
      <c r="AD165" s="55">
        <f t="shared" si="60"/>
        <v>0</v>
      </c>
      <c r="AE165" s="55">
        <f t="shared" si="60"/>
        <v>0</v>
      </c>
      <c r="AF165" s="55">
        <f t="shared" si="60"/>
        <v>0</v>
      </c>
      <c r="AG165" s="55">
        <f t="shared" si="60"/>
        <v>0</v>
      </c>
      <c r="AH165" s="55">
        <f t="shared" si="60"/>
        <v>0</v>
      </c>
      <c r="AI165" s="55">
        <f t="shared" si="60"/>
        <v>0</v>
      </c>
      <c r="AJ165" s="55">
        <f t="shared" si="60"/>
        <v>0</v>
      </c>
      <c r="AK165" s="55">
        <f t="shared" si="60"/>
        <v>0</v>
      </c>
      <c r="AL165" s="55">
        <f t="shared" si="60"/>
        <v>0</v>
      </c>
      <c r="AM165" s="55">
        <f t="shared" si="60"/>
        <v>0</v>
      </c>
      <c r="AN165" s="55">
        <f t="shared" si="60"/>
        <v>0</v>
      </c>
      <c r="AO165" s="55">
        <f t="shared" si="60"/>
        <v>0</v>
      </c>
      <c r="AP165" s="55">
        <f t="shared" si="60"/>
        <v>0</v>
      </c>
      <c r="AQ165" s="55">
        <f t="shared" ref="AQ165" si="61">IF($C163="",0,IF(AND(AQ163=$C163,AQ164=$C164),5,IF(OR(AND(AQ163-AQ164&gt;0,$C163-$C164&gt;0),AND(AQ164-AQ163&gt;0,$C164-$C163&gt;0),AND(AQ163-AQ164=0,$C163-$C164=0)),2,0)+IF(OR(AQ163=$C163,AQ164=$C164),1,0)))</f>
        <v>0</v>
      </c>
      <c r="AR165" s="55">
        <f t="shared" si="60"/>
        <v>0</v>
      </c>
      <c r="AS165" s="55">
        <f t="shared" si="60"/>
        <v>0</v>
      </c>
      <c r="AT165" s="55">
        <f t="shared" si="60"/>
        <v>0</v>
      </c>
      <c r="AU165" s="55">
        <f t="shared" si="60"/>
        <v>0</v>
      </c>
      <c r="AV165" s="55">
        <f t="shared" si="60"/>
        <v>0</v>
      </c>
      <c r="AW165" s="55">
        <f t="shared" si="60"/>
        <v>0</v>
      </c>
      <c r="AX165" s="55">
        <f t="shared" si="60"/>
        <v>0</v>
      </c>
      <c r="AY165" s="55">
        <f t="shared" si="60"/>
        <v>0</v>
      </c>
      <c r="AZ165" s="55">
        <f t="shared" si="60"/>
        <v>0</v>
      </c>
      <c r="BA165" s="55">
        <f t="shared" si="60"/>
        <v>0</v>
      </c>
      <c r="BB165" s="55">
        <f t="shared" si="60"/>
        <v>0</v>
      </c>
      <c r="BC165" s="55">
        <f t="shared" si="60"/>
        <v>0</v>
      </c>
      <c r="BD165" s="55">
        <f t="shared" si="60"/>
        <v>0</v>
      </c>
      <c r="BE165" s="55">
        <f t="shared" si="60"/>
        <v>0</v>
      </c>
      <c r="BF165" s="55">
        <f t="shared" si="60"/>
        <v>0</v>
      </c>
      <c r="BG165" s="55">
        <f t="shared" si="60"/>
        <v>0</v>
      </c>
      <c r="BH165" s="55">
        <f t="shared" si="60"/>
        <v>0</v>
      </c>
      <c r="BI165" s="55">
        <f t="shared" si="60"/>
        <v>0</v>
      </c>
      <c r="BJ165" s="55">
        <f t="shared" si="60"/>
        <v>0</v>
      </c>
    </row>
    <row r="166" spans="1:62" ht="15.75" customHeight="1" x14ac:dyDescent="0.25">
      <c r="A166" s="62"/>
      <c r="B166" s="19">
        <v>0.625</v>
      </c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</row>
    <row r="167" spans="1:62" ht="15.75" customHeight="1" x14ac:dyDescent="0.25">
      <c r="A167" s="13"/>
      <c r="B167" s="13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</row>
    <row r="168" spans="1:62" ht="18.75" customHeight="1" x14ac:dyDescent="0.25">
      <c r="A168" s="61">
        <v>34</v>
      </c>
      <c r="B168" s="14" t="s">
        <v>91</v>
      </c>
      <c r="C168" s="15"/>
      <c r="D168" s="16">
        <v>2</v>
      </c>
      <c r="E168" s="16">
        <v>2</v>
      </c>
      <c r="F168" s="16">
        <v>2</v>
      </c>
      <c r="G168" s="17">
        <v>3</v>
      </c>
      <c r="H168" s="16">
        <v>2</v>
      </c>
      <c r="I168" s="16">
        <v>3</v>
      </c>
      <c r="J168" s="16">
        <v>2</v>
      </c>
      <c r="K168" s="16">
        <v>2</v>
      </c>
      <c r="L168" s="16">
        <v>3</v>
      </c>
      <c r="M168" s="16">
        <v>3</v>
      </c>
      <c r="N168" s="16">
        <v>3</v>
      </c>
      <c r="O168" s="16">
        <v>3</v>
      </c>
      <c r="P168" s="16">
        <v>1</v>
      </c>
      <c r="Q168" s="16">
        <v>4</v>
      </c>
      <c r="R168" s="17">
        <v>3</v>
      </c>
      <c r="S168" s="16">
        <v>2</v>
      </c>
      <c r="T168" s="16">
        <v>2</v>
      </c>
      <c r="U168" s="16">
        <v>3</v>
      </c>
      <c r="V168" s="16">
        <v>2</v>
      </c>
      <c r="W168" s="16">
        <v>6</v>
      </c>
      <c r="X168" s="16">
        <v>3</v>
      </c>
      <c r="Y168" s="16">
        <v>2</v>
      </c>
      <c r="Z168" s="16">
        <v>2</v>
      </c>
      <c r="AA168" s="17">
        <v>2</v>
      </c>
      <c r="AB168" s="16">
        <v>2</v>
      </c>
      <c r="AC168" s="16">
        <v>2</v>
      </c>
      <c r="AD168" s="17">
        <v>2</v>
      </c>
      <c r="AE168" s="17">
        <v>3</v>
      </c>
      <c r="AF168" s="17">
        <v>2</v>
      </c>
      <c r="AG168" s="16">
        <v>2</v>
      </c>
      <c r="AH168" s="16">
        <v>3</v>
      </c>
      <c r="AI168" s="17">
        <v>2</v>
      </c>
      <c r="AJ168" s="16">
        <v>4</v>
      </c>
      <c r="AK168" s="16">
        <v>2</v>
      </c>
      <c r="AL168" s="16">
        <v>1</v>
      </c>
      <c r="AM168" s="16">
        <v>2</v>
      </c>
      <c r="AN168" s="16">
        <v>2</v>
      </c>
      <c r="AO168" s="16">
        <v>3</v>
      </c>
      <c r="AP168" s="17">
        <v>2</v>
      </c>
      <c r="AQ168" s="16">
        <v>2</v>
      </c>
      <c r="AR168" s="17">
        <v>3</v>
      </c>
      <c r="AS168" s="17">
        <v>3</v>
      </c>
      <c r="AT168" s="16">
        <v>2</v>
      </c>
      <c r="AU168" s="17">
        <v>2</v>
      </c>
      <c r="AV168" s="16">
        <v>3</v>
      </c>
      <c r="AW168" s="16">
        <v>2</v>
      </c>
      <c r="AX168" s="16">
        <v>2</v>
      </c>
      <c r="AY168" s="16">
        <v>3</v>
      </c>
      <c r="AZ168" s="16">
        <v>3</v>
      </c>
      <c r="BA168" s="16">
        <v>3</v>
      </c>
      <c r="BB168" s="16">
        <v>2</v>
      </c>
      <c r="BC168" s="17">
        <v>2</v>
      </c>
      <c r="BD168" s="16">
        <v>3</v>
      </c>
      <c r="BE168" s="17">
        <v>3</v>
      </c>
      <c r="BF168" s="17">
        <v>3</v>
      </c>
      <c r="BG168" s="16">
        <v>0</v>
      </c>
      <c r="BH168" s="17">
        <v>3</v>
      </c>
      <c r="BI168" s="16">
        <v>4</v>
      </c>
      <c r="BJ168" s="16">
        <v>3</v>
      </c>
    </row>
    <row r="169" spans="1:62" ht="20.25" customHeight="1" x14ac:dyDescent="0.25">
      <c r="A169" s="62"/>
      <c r="B169" s="14" t="s">
        <v>88</v>
      </c>
      <c r="C169" s="15"/>
      <c r="D169" s="16">
        <v>0</v>
      </c>
      <c r="E169" s="16">
        <v>0</v>
      </c>
      <c r="F169" s="16">
        <v>1</v>
      </c>
      <c r="G169" s="17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1</v>
      </c>
      <c r="R169" s="17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1</v>
      </c>
      <c r="Y169" s="16">
        <v>0</v>
      </c>
      <c r="Z169" s="16">
        <v>0</v>
      </c>
      <c r="AA169" s="17">
        <v>0</v>
      </c>
      <c r="AB169" s="16">
        <v>0</v>
      </c>
      <c r="AC169" s="16">
        <v>0</v>
      </c>
      <c r="AD169" s="17">
        <v>0</v>
      </c>
      <c r="AE169" s="17">
        <v>0</v>
      </c>
      <c r="AF169" s="17">
        <v>0</v>
      </c>
      <c r="AG169" s="16">
        <v>0</v>
      </c>
      <c r="AH169" s="16">
        <v>0</v>
      </c>
      <c r="AI169" s="17">
        <v>0</v>
      </c>
      <c r="AJ169" s="16">
        <v>0</v>
      </c>
      <c r="AK169" s="16">
        <v>0</v>
      </c>
      <c r="AL169" s="16">
        <v>1</v>
      </c>
      <c r="AM169" s="16">
        <v>0</v>
      </c>
      <c r="AN169" s="16">
        <v>0</v>
      </c>
      <c r="AO169" s="16">
        <v>0</v>
      </c>
      <c r="AP169" s="17">
        <v>0</v>
      </c>
      <c r="AQ169" s="16">
        <v>0</v>
      </c>
      <c r="AR169" s="17">
        <v>0</v>
      </c>
      <c r="AS169" s="17">
        <v>0</v>
      </c>
      <c r="AT169" s="16">
        <v>0</v>
      </c>
      <c r="AU169" s="17">
        <v>0</v>
      </c>
      <c r="AV169" s="16">
        <v>1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1</v>
      </c>
      <c r="BC169" s="17">
        <v>1</v>
      </c>
      <c r="BD169" s="16">
        <v>0</v>
      </c>
      <c r="BE169" s="17">
        <v>0</v>
      </c>
      <c r="BF169" s="17">
        <v>0</v>
      </c>
      <c r="BG169" s="16">
        <v>2</v>
      </c>
      <c r="BH169" s="17">
        <v>0</v>
      </c>
      <c r="BI169" s="16">
        <v>0</v>
      </c>
      <c r="BJ169" s="16">
        <v>0</v>
      </c>
    </row>
    <row r="170" spans="1:62" ht="15.75" customHeight="1" x14ac:dyDescent="0.25">
      <c r="A170" s="62"/>
      <c r="B170" s="18">
        <v>46193</v>
      </c>
      <c r="C170" s="60" t="s">
        <v>65</v>
      </c>
      <c r="D170" s="55">
        <f t="shared" ref="D170:BJ170" si="62">IF($C168="",0,IF(AND(D168=$C168,D169=$C169),5,IF(OR(AND(D168-D169&gt;0,$C168-$C169&gt;0),AND(D169-D168&gt;0,$C169-$C168&gt;0),AND(D168-D169=0,$C168-$C169=0)),2,0)+IF(OR(D168=$C168,D169=$C169),1,0)))</f>
        <v>0</v>
      </c>
      <c r="E170" s="55">
        <f t="shared" si="62"/>
        <v>0</v>
      </c>
      <c r="F170" s="55">
        <f t="shared" si="62"/>
        <v>0</v>
      </c>
      <c r="G170" s="55">
        <f t="shared" si="62"/>
        <v>0</v>
      </c>
      <c r="H170" s="55">
        <f t="shared" si="62"/>
        <v>0</v>
      </c>
      <c r="I170" s="55">
        <f t="shared" si="62"/>
        <v>0</v>
      </c>
      <c r="J170" s="55">
        <f t="shared" si="62"/>
        <v>0</v>
      </c>
      <c r="K170" s="55">
        <f t="shared" si="62"/>
        <v>0</v>
      </c>
      <c r="L170" s="55">
        <f t="shared" si="62"/>
        <v>0</v>
      </c>
      <c r="M170" s="55">
        <f t="shared" si="62"/>
        <v>0</v>
      </c>
      <c r="N170" s="55">
        <f t="shared" si="62"/>
        <v>0</v>
      </c>
      <c r="O170" s="55">
        <f t="shared" si="62"/>
        <v>0</v>
      </c>
      <c r="P170" s="55">
        <f t="shared" si="62"/>
        <v>0</v>
      </c>
      <c r="Q170" s="55">
        <f t="shared" si="62"/>
        <v>0</v>
      </c>
      <c r="R170" s="55">
        <f t="shared" si="62"/>
        <v>0</v>
      </c>
      <c r="S170" s="55">
        <f t="shared" si="62"/>
        <v>0</v>
      </c>
      <c r="T170" s="55">
        <f t="shared" si="62"/>
        <v>0</v>
      </c>
      <c r="U170" s="55">
        <f t="shared" si="62"/>
        <v>0</v>
      </c>
      <c r="V170" s="55">
        <f t="shared" si="62"/>
        <v>0</v>
      </c>
      <c r="W170" s="55">
        <f t="shared" si="62"/>
        <v>0</v>
      </c>
      <c r="X170" s="55">
        <f t="shared" si="62"/>
        <v>0</v>
      </c>
      <c r="Y170" s="55">
        <f t="shared" si="62"/>
        <v>0</v>
      </c>
      <c r="Z170" s="55">
        <f t="shared" si="62"/>
        <v>0</v>
      </c>
      <c r="AA170" s="55">
        <f t="shared" si="62"/>
        <v>0</v>
      </c>
      <c r="AB170" s="55">
        <f t="shared" si="62"/>
        <v>0</v>
      </c>
      <c r="AC170" s="55">
        <f t="shared" si="62"/>
        <v>0</v>
      </c>
      <c r="AD170" s="55">
        <f t="shared" si="62"/>
        <v>0</v>
      </c>
      <c r="AE170" s="55">
        <f t="shared" si="62"/>
        <v>0</v>
      </c>
      <c r="AF170" s="55">
        <f t="shared" si="62"/>
        <v>0</v>
      </c>
      <c r="AG170" s="55">
        <f t="shared" si="62"/>
        <v>0</v>
      </c>
      <c r="AH170" s="55">
        <f t="shared" si="62"/>
        <v>0</v>
      </c>
      <c r="AI170" s="55">
        <f t="shared" si="62"/>
        <v>0</v>
      </c>
      <c r="AJ170" s="55">
        <f t="shared" si="62"/>
        <v>0</v>
      </c>
      <c r="AK170" s="55">
        <f t="shared" si="62"/>
        <v>0</v>
      </c>
      <c r="AL170" s="55">
        <f t="shared" si="62"/>
        <v>0</v>
      </c>
      <c r="AM170" s="55">
        <f t="shared" si="62"/>
        <v>0</v>
      </c>
      <c r="AN170" s="55">
        <f t="shared" si="62"/>
        <v>0</v>
      </c>
      <c r="AO170" s="55">
        <f t="shared" si="62"/>
        <v>0</v>
      </c>
      <c r="AP170" s="55">
        <f t="shared" si="62"/>
        <v>0</v>
      </c>
      <c r="AQ170" s="55">
        <f t="shared" ref="AQ170" si="63">IF($C168="",0,IF(AND(AQ168=$C168,AQ169=$C169),5,IF(OR(AND(AQ168-AQ169&gt;0,$C168-$C169&gt;0),AND(AQ169-AQ168&gt;0,$C169-$C168&gt;0),AND(AQ168-AQ169=0,$C168-$C169=0)),2,0)+IF(OR(AQ168=$C168,AQ169=$C169),1,0)))</f>
        <v>0</v>
      </c>
      <c r="AR170" s="55">
        <f t="shared" si="62"/>
        <v>0</v>
      </c>
      <c r="AS170" s="55">
        <f t="shared" si="62"/>
        <v>0</v>
      </c>
      <c r="AT170" s="55">
        <f t="shared" si="62"/>
        <v>0</v>
      </c>
      <c r="AU170" s="55">
        <f t="shared" si="62"/>
        <v>0</v>
      </c>
      <c r="AV170" s="55">
        <f t="shared" si="62"/>
        <v>0</v>
      </c>
      <c r="AW170" s="55">
        <f t="shared" si="62"/>
        <v>0</v>
      </c>
      <c r="AX170" s="55">
        <f t="shared" si="62"/>
        <v>0</v>
      </c>
      <c r="AY170" s="55">
        <f t="shared" si="62"/>
        <v>0</v>
      </c>
      <c r="AZ170" s="55">
        <f t="shared" si="62"/>
        <v>0</v>
      </c>
      <c r="BA170" s="55">
        <f t="shared" si="62"/>
        <v>0</v>
      </c>
      <c r="BB170" s="55">
        <f t="shared" si="62"/>
        <v>0</v>
      </c>
      <c r="BC170" s="55">
        <f t="shared" si="62"/>
        <v>0</v>
      </c>
      <c r="BD170" s="55">
        <f t="shared" si="62"/>
        <v>0</v>
      </c>
      <c r="BE170" s="55">
        <f t="shared" si="62"/>
        <v>0</v>
      </c>
      <c r="BF170" s="55">
        <f t="shared" si="62"/>
        <v>0</v>
      </c>
      <c r="BG170" s="55">
        <f t="shared" si="62"/>
        <v>0</v>
      </c>
      <c r="BH170" s="55">
        <f t="shared" si="62"/>
        <v>0</v>
      </c>
      <c r="BI170" s="55">
        <f t="shared" si="62"/>
        <v>0</v>
      </c>
      <c r="BJ170" s="55">
        <f t="shared" si="62"/>
        <v>0</v>
      </c>
    </row>
    <row r="171" spans="1:62" ht="15.75" customHeight="1" x14ac:dyDescent="0.25">
      <c r="A171" s="62"/>
      <c r="B171" s="19">
        <v>0.79166666666666663</v>
      </c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</row>
    <row r="172" spans="1:62" ht="15.75" customHeight="1" x14ac:dyDescent="0.25">
      <c r="A172" s="23"/>
    </row>
    <row r="173" spans="1:62" ht="20.25" customHeight="1" x14ac:dyDescent="0.25">
      <c r="A173" s="61">
        <v>55</v>
      </c>
      <c r="B173" s="14" t="s">
        <v>88</v>
      </c>
      <c r="C173" s="15"/>
      <c r="D173" s="16">
        <v>0</v>
      </c>
      <c r="E173" s="16">
        <v>1</v>
      </c>
      <c r="F173" s="16">
        <v>1</v>
      </c>
      <c r="G173" s="17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</v>
      </c>
      <c r="P173" s="16">
        <v>1</v>
      </c>
      <c r="Q173" s="16">
        <v>0</v>
      </c>
      <c r="R173" s="17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1</v>
      </c>
      <c r="Y173" s="16">
        <v>0</v>
      </c>
      <c r="Z173" s="16">
        <v>0</v>
      </c>
      <c r="AA173" s="17">
        <v>1</v>
      </c>
      <c r="AB173" s="16">
        <v>0</v>
      </c>
      <c r="AC173" s="16">
        <v>0</v>
      </c>
      <c r="AD173" s="17">
        <v>2</v>
      </c>
      <c r="AE173" s="17">
        <v>0</v>
      </c>
      <c r="AF173" s="17">
        <v>0</v>
      </c>
      <c r="AG173" s="16">
        <v>0</v>
      </c>
      <c r="AH173" s="16">
        <v>0</v>
      </c>
      <c r="AI173" s="17">
        <v>1</v>
      </c>
      <c r="AJ173" s="16">
        <v>3</v>
      </c>
      <c r="AK173" s="16">
        <v>1</v>
      </c>
      <c r="AL173" s="16">
        <v>1</v>
      </c>
      <c r="AM173" s="16">
        <v>1</v>
      </c>
      <c r="AN173" s="16">
        <v>0</v>
      </c>
      <c r="AO173" s="16">
        <v>1</v>
      </c>
      <c r="AP173" s="17">
        <v>1</v>
      </c>
      <c r="AQ173" s="16">
        <v>1</v>
      </c>
      <c r="AR173" s="17">
        <v>1</v>
      </c>
      <c r="AS173" s="17">
        <v>0</v>
      </c>
      <c r="AT173" s="16">
        <v>1</v>
      </c>
      <c r="AU173" s="17">
        <v>0</v>
      </c>
      <c r="AV173" s="16">
        <v>0</v>
      </c>
      <c r="AW173" s="16">
        <v>0</v>
      </c>
      <c r="AX173" s="16">
        <v>1</v>
      </c>
      <c r="AY173" s="16">
        <v>0</v>
      </c>
      <c r="AZ173" s="16">
        <v>0</v>
      </c>
      <c r="BA173" s="16">
        <v>0</v>
      </c>
      <c r="BB173" s="16">
        <v>0</v>
      </c>
      <c r="BC173" s="17">
        <v>0</v>
      </c>
      <c r="BD173" s="16">
        <v>0</v>
      </c>
      <c r="BE173" s="17">
        <v>1</v>
      </c>
      <c r="BF173" s="17">
        <v>1</v>
      </c>
      <c r="BG173" s="16">
        <v>0</v>
      </c>
      <c r="BH173" s="17">
        <v>0</v>
      </c>
      <c r="BI173" s="16">
        <v>0</v>
      </c>
      <c r="BJ173" s="16">
        <v>1</v>
      </c>
    </row>
    <row r="174" spans="1:62" ht="20.25" customHeight="1" x14ac:dyDescent="0.25">
      <c r="A174" s="62"/>
      <c r="B174" s="14" t="s">
        <v>89</v>
      </c>
      <c r="C174" s="15"/>
      <c r="D174" s="16">
        <v>2</v>
      </c>
      <c r="E174" s="16">
        <v>2</v>
      </c>
      <c r="F174" s="16">
        <v>3</v>
      </c>
      <c r="G174" s="17">
        <v>3</v>
      </c>
      <c r="H174" s="16">
        <v>2</v>
      </c>
      <c r="I174" s="16">
        <v>0</v>
      </c>
      <c r="J174" s="16">
        <v>2</v>
      </c>
      <c r="K174" s="16">
        <v>3</v>
      </c>
      <c r="L174" s="16">
        <v>2</v>
      </c>
      <c r="M174" s="16">
        <v>2</v>
      </c>
      <c r="N174" s="16">
        <v>2</v>
      </c>
      <c r="O174" s="16">
        <v>2</v>
      </c>
      <c r="P174" s="16">
        <v>2</v>
      </c>
      <c r="Q174" s="16">
        <v>1</v>
      </c>
      <c r="R174" s="17">
        <v>3</v>
      </c>
      <c r="S174" s="16">
        <v>2</v>
      </c>
      <c r="T174" s="16">
        <v>2</v>
      </c>
      <c r="U174" s="16">
        <v>3</v>
      </c>
      <c r="V174" s="16">
        <v>2</v>
      </c>
      <c r="W174" s="16">
        <v>4</v>
      </c>
      <c r="X174" s="16">
        <v>3</v>
      </c>
      <c r="Y174" s="16">
        <v>2</v>
      </c>
      <c r="Z174" s="16">
        <v>2</v>
      </c>
      <c r="AA174" s="17">
        <v>3</v>
      </c>
      <c r="AB174" s="16">
        <v>2</v>
      </c>
      <c r="AC174" s="16">
        <v>2</v>
      </c>
      <c r="AD174" s="17">
        <v>2</v>
      </c>
      <c r="AE174" s="17">
        <v>2</v>
      </c>
      <c r="AF174" s="17">
        <v>2</v>
      </c>
      <c r="AG174" s="16">
        <v>2</v>
      </c>
      <c r="AH174" s="16">
        <v>2</v>
      </c>
      <c r="AI174" s="17">
        <v>3</v>
      </c>
      <c r="AJ174" s="16">
        <v>0</v>
      </c>
      <c r="AK174" s="16">
        <v>3</v>
      </c>
      <c r="AL174" s="16">
        <v>2</v>
      </c>
      <c r="AM174" s="16">
        <v>3</v>
      </c>
      <c r="AN174" s="16">
        <v>2</v>
      </c>
      <c r="AO174" s="16">
        <v>3</v>
      </c>
      <c r="AP174" s="17">
        <v>3</v>
      </c>
      <c r="AQ174" s="16">
        <v>2</v>
      </c>
      <c r="AR174" s="17">
        <v>3</v>
      </c>
      <c r="AS174" s="17">
        <v>2</v>
      </c>
      <c r="AT174" s="16">
        <v>1</v>
      </c>
      <c r="AU174" s="17">
        <v>1</v>
      </c>
      <c r="AV174" s="16">
        <v>2</v>
      </c>
      <c r="AW174" s="16">
        <v>2</v>
      </c>
      <c r="AX174" s="16">
        <v>1</v>
      </c>
      <c r="AY174" s="16">
        <v>2</v>
      </c>
      <c r="AZ174" s="16">
        <v>2</v>
      </c>
      <c r="BA174" s="16">
        <v>2</v>
      </c>
      <c r="BB174" s="16">
        <v>1</v>
      </c>
      <c r="BC174" s="17">
        <v>1</v>
      </c>
      <c r="BD174" s="16">
        <v>2</v>
      </c>
      <c r="BE174" s="17">
        <v>1</v>
      </c>
      <c r="BF174" s="17">
        <v>3</v>
      </c>
      <c r="BG174" s="16">
        <v>2</v>
      </c>
      <c r="BH174" s="17">
        <v>2</v>
      </c>
      <c r="BI174" s="16">
        <v>1</v>
      </c>
      <c r="BJ174" s="16">
        <v>2</v>
      </c>
    </row>
    <row r="175" spans="1:62" ht="15.75" customHeight="1" x14ac:dyDescent="0.25">
      <c r="A175" s="62"/>
      <c r="B175" s="18">
        <v>46198</v>
      </c>
      <c r="C175" s="60" t="s">
        <v>65</v>
      </c>
      <c r="D175" s="55">
        <f t="shared" ref="D175:BJ175" si="64">IF($C173="",0,IF(AND(D173=$C173,D174=$C174),5,IF(OR(AND(D173-D174&gt;0,$C173-$C174&gt;0),AND(D174-D173&gt;0,$C174-$C173&gt;0),AND(D173-D174=0,$C173-$C174=0)),2,0)+IF(OR(D173=$C173,D174=$C174),1,0)))</f>
        <v>0</v>
      </c>
      <c r="E175" s="55">
        <f t="shared" si="64"/>
        <v>0</v>
      </c>
      <c r="F175" s="55">
        <f t="shared" si="64"/>
        <v>0</v>
      </c>
      <c r="G175" s="55">
        <f t="shared" si="64"/>
        <v>0</v>
      </c>
      <c r="H175" s="55">
        <f t="shared" si="64"/>
        <v>0</v>
      </c>
      <c r="I175" s="55">
        <f t="shared" si="64"/>
        <v>0</v>
      </c>
      <c r="J175" s="55">
        <f t="shared" si="64"/>
        <v>0</v>
      </c>
      <c r="K175" s="55">
        <f t="shared" si="64"/>
        <v>0</v>
      </c>
      <c r="L175" s="55">
        <f t="shared" si="64"/>
        <v>0</v>
      </c>
      <c r="M175" s="55">
        <f t="shared" si="64"/>
        <v>0</v>
      </c>
      <c r="N175" s="55">
        <f t="shared" si="64"/>
        <v>0</v>
      </c>
      <c r="O175" s="55">
        <f t="shared" si="64"/>
        <v>0</v>
      </c>
      <c r="P175" s="55">
        <f t="shared" si="64"/>
        <v>0</v>
      </c>
      <c r="Q175" s="55">
        <f t="shared" si="64"/>
        <v>0</v>
      </c>
      <c r="R175" s="55">
        <f t="shared" si="64"/>
        <v>0</v>
      </c>
      <c r="S175" s="55">
        <f t="shared" si="64"/>
        <v>0</v>
      </c>
      <c r="T175" s="55">
        <f t="shared" si="64"/>
        <v>0</v>
      </c>
      <c r="U175" s="55">
        <f t="shared" si="64"/>
        <v>0</v>
      </c>
      <c r="V175" s="55">
        <f t="shared" si="64"/>
        <v>0</v>
      </c>
      <c r="W175" s="55">
        <f t="shared" si="64"/>
        <v>0</v>
      </c>
      <c r="X175" s="55">
        <f t="shared" si="64"/>
        <v>0</v>
      </c>
      <c r="Y175" s="55">
        <f t="shared" si="64"/>
        <v>0</v>
      </c>
      <c r="Z175" s="55">
        <f t="shared" si="64"/>
        <v>0</v>
      </c>
      <c r="AA175" s="55">
        <f t="shared" si="64"/>
        <v>0</v>
      </c>
      <c r="AB175" s="55">
        <f t="shared" si="64"/>
        <v>0</v>
      </c>
      <c r="AC175" s="55">
        <f t="shared" si="64"/>
        <v>0</v>
      </c>
      <c r="AD175" s="55">
        <f t="shared" si="64"/>
        <v>0</v>
      </c>
      <c r="AE175" s="55">
        <f t="shared" si="64"/>
        <v>0</v>
      </c>
      <c r="AF175" s="55">
        <f t="shared" si="64"/>
        <v>0</v>
      </c>
      <c r="AG175" s="55">
        <f t="shared" si="64"/>
        <v>0</v>
      </c>
      <c r="AH175" s="55">
        <f t="shared" si="64"/>
        <v>0</v>
      </c>
      <c r="AI175" s="55">
        <f t="shared" si="64"/>
        <v>0</v>
      </c>
      <c r="AJ175" s="55">
        <f t="shared" si="64"/>
        <v>0</v>
      </c>
      <c r="AK175" s="55">
        <f t="shared" si="64"/>
        <v>0</v>
      </c>
      <c r="AL175" s="55">
        <f t="shared" si="64"/>
        <v>0</v>
      </c>
      <c r="AM175" s="55">
        <f t="shared" si="64"/>
        <v>0</v>
      </c>
      <c r="AN175" s="55">
        <f t="shared" si="64"/>
        <v>0</v>
      </c>
      <c r="AO175" s="55">
        <f t="shared" si="64"/>
        <v>0</v>
      </c>
      <c r="AP175" s="55">
        <f t="shared" si="64"/>
        <v>0</v>
      </c>
      <c r="AQ175" s="55">
        <f t="shared" ref="AQ175" si="65">IF($C173="",0,IF(AND(AQ173=$C173,AQ174=$C174),5,IF(OR(AND(AQ173-AQ174&gt;0,$C173-$C174&gt;0),AND(AQ174-AQ173&gt;0,$C174-$C173&gt;0),AND(AQ173-AQ174=0,$C173-$C174=0)),2,0)+IF(OR(AQ173=$C173,AQ174=$C174),1,0)))</f>
        <v>0</v>
      </c>
      <c r="AR175" s="55">
        <f t="shared" si="64"/>
        <v>0</v>
      </c>
      <c r="AS175" s="55">
        <f t="shared" si="64"/>
        <v>0</v>
      </c>
      <c r="AT175" s="55">
        <f t="shared" si="64"/>
        <v>0</v>
      </c>
      <c r="AU175" s="55">
        <f t="shared" si="64"/>
        <v>0</v>
      </c>
      <c r="AV175" s="55">
        <f t="shared" si="64"/>
        <v>0</v>
      </c>
      <c r="AW175" s="55">
        <f t="shared" si="64"/>
        <v>0</v>
      </c>
      <c r="AX175" s="55">
        <f t="shared" si="64"/>
        <v>0</v>
      </c>
      <c r="AY175" s="55">
        <f t="shared" si="64"/>
        <v>0</v>
      </c>
      <c r="AZ175" s="55">
        <f t="shared" si="64"/>
        <v>0</v>
      </c>
      <c r="BA175" s="55">
        <f t="shared" si="64"/>
        <v>0</v>
      </c>
      <c r="BB175" s="55">
        <f t="shared" si="64"/>
        <v>0</v>
      </c>
      <c r="BC175" s="55">
        <f t="shared" si="64"/>
        <v>0</v>
      </c>
      <c r="BD175" s="55">
        <f t="shared" si="64"/>
        <v>0</v>
      </c>
      <c r="BE175" s="55">
        <f t="shared" si="64"/>
        <v>0</v>
      </c>
      <c r="BF175" s="55">
        <f t="shared" si="64"/>
        <v>0</v>
      </c>
      <c r="BG175" s="55">
        <f t="shared" si="64"/>
        <v>0</v>
      </c>
      <c r="BH175" s="55">
        <f t="shared" si="64"/>
        <v>0</v>
      </c>
      <c r="BI175" s="55">
        <f t="shared" si="64"/>
        <v>0</v>
      </c>
      <c r="BJ175" s="55">
        <f t="shared" si="64"/>
        <v>0</v>
      </c>
    </row>
    <row r="176" spans="1:62" ht="15.75" customHeight="1" x14ac:dyDescent="0.25">
      <c r="A176" s="62"/>
      <c r="B176" s="19">
        <v>0.625</v>
      </c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</row>
    <row r="177" spans="1:62" ht="15.75" customHeight="1" x14ac:dyDescent="0.25">
      <c r="A177" s="23"/>
    </row>
    <row r="178" spans="1:62" ht="20.25" customHeight="1" x14ac:dyDescent="0.25">
      <c r="A178" s="61">
        <v>56</v>
      </c>
      <c r="B178" s="14" t="s">
        <v>90</v>
      </c>
      <c r="C178" s="15"/>
      <c r="D178" s="16">
        <v>1</v>
      </c>
      <c r="E178" s="16">
        <v>1</v>
      </c>
      <c r="F178" s="16">
        <v>2</v>
      </c>
      <c r="G178" s="17">
        <v>1</v>
      </c>
      <c r="H178" s="16">
        <v>1</v>
      </c>
      <c r="I178" s="16">
        <v>2</v>
      </c>
      <c r="J178" s="16">
        <v>1</v>
      </c>
      <c r="K178" s="16">
        <v>1</v>
      </c>
      <c r="L178" s="16">
        <v>1</v>
      </c>
      <c r="M178" s="16">
        <v>0</v>
      </c>
      <c r="N178" s="16">
        <v>1</v>
      </c>
      <c r="O178" s="16">
        <v>1</v>
      </c>
      <c r="P178" s="16">
        <v>1</v>
      </c>
      <c r="Q178" s="16">
        <v>0</v>
      </c>
      <c r="R178" s="17">
        <v>1</v>
      </c>
      <c r="S178" s="16">
        <v>0</v>
      </c>
      <c r="T178" s="16">
        <v>1</v>
      </c>
      <c r="U178" s="16">
        <v>1</v>
      </c>
      <c r="V178" s="16">
        <v>1</v>
      </c>
      <c r="W178" s="16">
        <v>2</v>
      </c>
      <c r="X178" s="16">
        <v>1</v>
      </c>
      <c r="Y178" s="16">
        <v>1</v>
      </c>
      <c r="Z178" s="16">
        <v>1</v>
      </c>
      <c r="AA178" s="17">
        <v>1</v>
      </c>
      <c r="AB178" s="16">
        <v>1</v>
      </c>
      <c r="AC178" s="16">
        <v>1</v>
      </c>
      <c r="AD178" s="17">
        <v>1</v>
      </c>
      <c r="AE178" s="17">
        <v>1</v>
      </c>
      <c r="AF178" s="17">
        <v>1</v>
      </c>
      <c r="AG178" s="16">
        <v>1</v>
      </c>
      <c r="AH178" s="16">
        <v>1</v>
      </c>
      <c r="AI178" s="17">
        <v>1</v>
      </c>
      <c r="AJ178" s="16">
        <v>1</v>
      </c>
      <c r="AK178" s="16">
        <v>0</v>
      </c>
      <c r="AL178" s="16">
        <v>2</v>
      </c>
      <c r="AM178" s="16">
        <v>1</v>
      </c>
      <c r="AN178" s="16">
        <v>0</v>
      </c>
      <c r="AO178" s="16">
        <v>0</v>
      </c>
      <c r="AP178" s="17">
        <v>1</v>
      </c>
      <c r="AQ178" s="16">
        <v>1</v>
      </c>
      <c r="AR178" s="17">
        <v>1</v>
      </c>
      <c r="AS178" s="17">
        <v>2</v>
      </c>
      <c r="AT178" s="16">
        <v>0</v>
      </c>
      <c r="AU178" s="17">
        <v>1</v>
      </c>
      <c r="AV178" s="16">
        <v>1</v>
      </c>
      <c r="AW178" s="16">
        <v>1</v>
      </c>
      <c r="AX178" s="16">
        <v>2</v>
      </c>
      <c r="AY178" s="16">
        <v>1</v>
      </c>
      <c r="AZ178" s="16">
        <v>1</v>
      </c>
      <c r="BA178" s="16">
        <v>1</v>
      </c>
      <c r="BB178" s="16">
        <v>1</v>
      </c>
      <c r="BC178" s="17">
        <v>0</v>
      </c>
      <c r="BD178" s="16">
        <v>1</v>
      </c>
      <c r="BE178" s="17">
        <v>1</v>
      </c>
      <c r="BF178" s="17">
        <v>1</v>
      </c>
      <c r="BG178" s="16">
        <v>2</v>
      </c>
      <c r="BH178" s="17">
        <v>1</v>
      </c>
      <c r="BI178" s="16">
        <v>1</v>
      </c>
      <c r="BJ178" s="16">
        <v>2</v>
      </c>
    </row>
    <row r="179" spans="1:62" ht="23.25" customHeight="1" x14ac:dyDescent="0.25">
      <c r="A179" s="62"/>
      <c r="B179" s="14" t="s">
        <v>87</v>
      </c>
      <c r="C179" s="15"/>
      <c r="D179" s="16">
        <v>3</v>
      </c>
      <c r="E179" s="16">
        <v>2</v>
      </c>
      <c r="F179" s="16">
        <v>3</v>
      </c>
      <c r="G179" s="17">
        <v>2</v>
      </c>
      <c r="H179" s="16">
        <v>3</v>
      </c>
      <c r="I179" s="16">
        <v>3</v>
      </c>
      <c r="J179" s="16">
        <v>1</v>
      </c>
      <c r="K179" s="16">
        <v>3</v>
      </c>
      <c r="L179" s="16">
        <v>2</v>
      </c>
      <c r="M179" s="16">
        <v>1</v>
      </c>
      <c r="N179" s="16">
        <v>2</v>
      </c>
      <c r="O179" s="16">
        <v>2</v>
      </c>
      <c r="P179" s="16">
        <v>2</v>
      </c>
      <c r="Q179" s="16">
        <v>2</v>
      </c>
      <c r="R179" s="17">
        <v>3</v>
      </c>
      <c r="S179" s="16">
        <v>2</v>
      </c>
      <c r="T179" s="16">
        <v>3</v>
      </c>
      <c r="U179" s="16">
        <v>3</v>
      </c>
      <c r="V179" s="16">
        <v>2</v>
      </c>
      <c r="W179" s="16">
        <v>2</v>
      </c>
      <c r="X179" s="16">
        <v>4</v>
      </c>
      <c r="Y179" s="16">
        <v>2</v>
      </c>
      <c r="Z179" s="16">
        <v>3</v>
      </c>
      <c r="AA179" s="17">
        <v>1</v>
      </c>
      <c r="AB179" s="16">
        <v>3</v>
      </c>
      <c r="AC179" s="16">
        <v>2</v>
      </c>
      <c r="AD179" s="17">
        <v>3</v>
      </c>
      <c r="AE179" s="17">
        <v>2</v>
      </c>
      <c r="AF179" s="17">
        <v>2</v>
      </c>
      <c r="AG179" s="16">
        <v>1</v>
      </c>
      <c r="AH179" s="16">
        <v>2</v>
      </c>
      <c r="AI179" s="17">
        <v>1</v>
      </c>
      <c r="AJ179" s="16">
        <v>1</v>
      </c>
      <c r="AK179" s="16">
        <v>3</v>
      </c>
      <c r="AL179" s="16">
        <v>3</v>
      </c>
      <c r="AM179" s="16">
        <v>1</v>
      </c>
      <c r="AN179" s="16">
        <v>2</v>
      </c>
      <c r="AO179" s="16">
        <v>2</v>
      </c>
      <c r="AP179" s="17">
        <v>3</v>
      </c>
      <c r="AQ179" s="16">
        <v>2</v>
      </c>
      <c r="AR179" s="17">
        <v>2</v>
      </c>
      <c r="AS179" s="17">
        <v>2</v>
      </c>
      <c r="AT179" s="16">
        <v>2</v>
      </c>
      <c r="AU179" s="17">
        <v>1</v>
      </c>
      <c r="AV179" s="16">
        <v>2</v>
      </c>
      <c r="AW179" s="16">
        <v>2</v>
      </c>
      <c r="AX179" s="16">
        <v>3</v>
      </c>
      <c r="AY179" s="16">
        <v>2</v>
      </c>
      <c r="AZ179" s="16">
        <v>2</v>
      </c>
      <c r="BA179" s="16">
        <v>3</v>
      </c>
      <c r="BB179" s="16">
        <v>2</v>
      </c>
      <c r="BC179" s="17">
        <v>2</v>
      </c>
      <c r="BD179" s="16">
        <v>2</v>
      </c>
      <c r="BE179" s="17">
        <v>2</v>
      </c>
      <c r="BF179" s="17">
        <v>2</v>
      </c>
      <c r="BG179" s="16">
        <v>1</v>
      </c>
      <c r="BH179" s="17">
        <v>1</v>
      </c>
      <c r="BI179" s="16">
        <v>3</v>
      </c>
      <c r="BJ179" s="16">
        <v>2</v>
      </c>
    </row>
    <row r="180" spans="1:62" ht="15.75" customHeight="1" x14ac:dyDescent="0.25">
      <c r="A180" s="62"/>
      <c r="B180" s="18">
        <v>46198</v>
      </c>
      <c r="C180" s="60" t="s">
        <v>65</v>
      </c>
      <c r="D180" s="55">
        <f t="shared" ref="D180:BJ180" si="66">IF($C178="",0,IF(AND(D178=$C178,D179=$C179),5,IF(OR(AND(D178-D179&gt;0,$C178-$C179&gt;0),AND(D179-D178&gt;0,$C179-$C178&gt;0),AND(D178-D179=0,$C178-$C179=0)),2,0)+IF(OR(D178=$C178,D179=$C179),1,0)))</f>
        <v>0</v>
      </c>
      <c r="E180" s="55">
        <f t="shared" si="66"/>
        <v>0</v>
      </c>
      <c r="F180" s="55">
        <f t="shared" si="66"/>
        <v>0</v>
      </c>
      <c r="G180" s="55">
        <f t="shared" si="66"/>
        <v>0</v>
      </c>
      <c r="H180" s="55">
        <f t="shared" si="66"/>
        <v>0</v>
      </c>
      <c r="I180" s="55">
        <f t="shared" si="66"/>
        <v>0</v>
      </c>
      <c r="J180" s="55">
        <f t="shared" si="66"/>
        <v>0</v>
      </c>
      <c r="K180" s="55">
        <f t="shared" si="66"/>
        <v>0</v>
      </c>
      <c r="L180" s="55">
        <f t="shared" si="66"/>
        <v>0</v>
      </c>
      <c r="M180" s="55">
        <f t="shared" si="66"/>
        <v>0</v>
      </c>
      <c r="N180" s="55">
        <f t="shared" si="66"/>
        <v>0</v>
      </c>
      <c r="O180" s="55">
        <f t="shared" si="66"/>
        <v>0</v>
      </c>
      <c r="P180" s="55">
        <f t="shared" si="66"/>
        <v>0</v>
      </c>
      <c r="Q180" s="55">
        <f t="shared" si="66"/>
        <v>0</v>
      </c>
      <c r="R180" s="55">
        <f t="shared" si="66"/>
        <v>0</v>
      </c>
      <c r="S180" s="55">
        <f t="shared" si="66"/>
        <v>0</v>
      </c>
      <c r="T180" s="55">
        <f t="shared" si="66"/>
        <v>0</v>
      </c>
      <c r="U180" s="55">
        <f t="shared" si="66"/>
        <v>0</v>
      </c>
      <c r="V180" s="55">
        <f t="shared" si="66"/>
        <v>0</v>
      </c>
      <c r="W180" s="55">
        <f t="shared" si="66"/>
        <v>0</v>
      </c>
      <c r="X180" s="55">
        <f t="shared" si="66"/>
        <v>0</v>
      </c>
      <c r="Y180" s="55">
        <f t="shared" si="66"/>
        <v>0</v>
      </c>
      <c r="Z180" s="55">
        <f t="shared" si="66"/>
        <v>0</v>
      </c>
      <c r="AA180" s="55">
        <f t="shared" si="66"/>
        <v>0</v>
      </c>
      <c r="AB180" s="55">
        <f t="shared" si="66"/>
        <v>0</v>
      </c>
      <c r="AC180" s="55">
        <f t="shared" si="66"/>
        <v>0</v>
      </c>
      <c r="AD180" s="55">
        <f t="shared" si="66"/>
        <v>0</v>
      </c>
      <c r="AE180" s="55">
        <f t="shared" si="66"/>
        <v>0</v>
      </c>
      <c r="AF180" s="55">
        <f t="shared" si="66"/>
        <v>0</v>
      </c>
      <c r="AG180" s="55">
        <f t="shared" si="66"/>
        <v>0</v>
      </c>
      <c r="AH180" s="55">
        <f t="shared" si="66"/>
        <v>0</v>
      </c>
      <c r="AI180" s="55">
        <f t="shared" si="66"/>
        <v>0</v>
      </c>
      <c r="AJ180" s="55">
        <f t="shared" si="66"/>
        <v>0</v>
      </c>
      <c r="AK180" s="55">
        <f t="shared" si="66"/>
        <v>0</v>
      </c>
      <c r="AL180" s="55">
        <f t="shared" si="66"/>
        <v>0</v>
      </c>
      <c r="AM180" s="55">
        <f t="shared" si="66"/>
        <v>0</v>
      </c>
      <c r="AN180" s="55">
        <f t="shared" si="66"/>
        <v>0</v>
      </c>
      <c r="AO180" s="55">
        <f t="shared" si="66"/>
        <v>0</v>
      </c>
      <c r="AP180" s="55">
        <f t="shared" si="66"/>
        <v>0</v>
      </c>
      <c r="AQ180" s="55">
        <f t="shared" ref="AQ180" si="67">IF($C178="",0,IF(AND(AQ178=$C178,AQ179=$C179),5,IF(OR(AND(AQ178-AQ179&gt;0,$C178-$C179&gt;0),AND(AQ179-AQ178&gt;0,$C179-$C178&gt;0),AND(AQ178-AQ179=0,$C178-$C179=0)),2,0)+IF(OR(AQ178=$C178,AQ179=$C179),1,0)))</f>
        <v>0</v>
      </c>
      <c r="AR180" s="55">
        <f t="shared" si="66"/>
        <v>0</v>
      </c>
      <c r="AS180" s="55">
        <f t="shared" si="66"/>
        <v>0</v>
      </c>
      <c r="AT180" s="55">
        <f t="shared" si="66"/>
        <v>0</v>
      </c>
      <c r="AU180" s="55">
        <f t="shared" si="66"/>
        <v>0</v>
      </c>
      <c r="AV180" s="55">
        <f t="shared" si="66"/>
        <v>0</v>
      </c>
      <c r="AW180" s="55">
        <f t="shared" si="66"/>
        <v>0</v>
      </c>
      <c r="AX180" s="55">
        <f t="shared" si="66"/>
        <v>0</v>
      </c>
      <c r="AY180" s="55">
        <f t="shared" si="66"/>
        <v>0</v>
      </c>
      <c r="AZ180" s="55">
        <f t="shared" si="66"/>
        <v>0</v>
      </c>
      <c r="BA180" s="55">
        <f t="shared" si="66"/>
        <v>0</v>
      </c>
      <c r="BB180" s="55">
        <f t="shared" si="66"/>
        <v>0</v>
      </c>
      <c r="BC180" s="55">
        <f t="shared" si="66"/>
        <v>0</v>
      </c>
      <c r="BD180" s="55">
        <f t="shared" si="66"/>
        <v>0</v>
      </c>
      <c r="BE180" s="55">
        <f t="shared" si="66"/>
        <v>0</v>
      </c>
      <c r="BF180" s="55">
        <f t="shared" si="66"/>
        <v>0</v>
      </c>
      <c r="BG180" s="55">
        <f t="shared" si="66"/>
        <v>0</v>
      </c>
      <c r="BH180" s="55">
        <f t="shared" si="66"/>
        <v>0</v>
      </c>
      <c r="BI180" s="55">
        <f t="shared" si="66"/>
        <v>0</v>
      </c>
      <c r="BJ180" s="55">
        <f t="shared" si="66"/>
        <v>0</v>
      </c>
    </row>
    <row r="181" spans="1:62" ht="15.75" customHeight="1" x14ac:dyDescent="0.25">
      <c r="A181" s="62"/>
      <c r="B181" s="19">
        <v>0.625</v>
      </c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</row>
    <row r="182" spans="1:62" ht="15.75" customHeight="1" x14ac:dyDescent="0.25"/>
    <row r="183" spans="1:62" ht="15.75" customHeight="1" x14ac:dyDescent="0.25"/>
    <row r="184" spans="1:62" ht="15.75" customHeight="1" x14ac:dyDescent="0.25"/>
    <row r="185" spans="1:62" ht="42" customHeight="1" x14ac:dyDescent="0.25">
      <c r="A185" s="57" t="s">
        <v>92</v>
      </c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9"/>
    </row>
    <row r="186" spans="1:62" ht="15.75" customHeight="1" x14ac:dyDescent="0.25">
      <c r="A186" s="2"/>
      <c r="B186" s="2"/>
      <c r="C186" s="2"/>
      <c r="D186" s="2"/>
      <c r="E186" s="2"/>
      <c r="F186" s="2"/>
      <c r="G186" s="2"/>
      <c r="H186" s="3"/>
      <c r="I186" s="3"/>
      <c r="J186" s="3"/>
    </row>
    <row r="187" spans="1:62" ht="15.75" customHeight="1" x14ac:dyDescent="0.25">
      <c r="A187" s="4"/>
      <c r="B187" s="5"/>
      <c r="C187" s="6"/>
      <c r="D187" s="7">
        <v>1</v>
      </c>
      <c r="E187" s="7">
        <v>2</v>
      </c>
      <c r="F187" s="7">
        <v>3</v>
      </c>
      <c r="G187" s="7">
        <v>4</v>
      </c>
      <c r="H187" s="7">
        <v>5</v>
      </c>
      <c r="I187" s="7">
        <v>6</v>
      </c>
      <c r="J187" s="7">
        <v>7</v>
      </c>
      <c r="K187" s="7">
        <v>8</v>
      </c>
      <c r="L187" s="7">
        <v>9</v>
      </c>
      <c r="M187" s="7">
        <v>10</v>
      </c>
      <c r="N187" s="7">
        <v>11</v>
      </c>
      <c r="O187" s="7">
        <v>13</v>
      </c>
      <c r="P187" s="7">
        <v>14</v>
      </c>
      <c r="Q187" s="7">
        <v>15</v>
      </c>
      <c r="R187" s="7">
        <v>16</v>
      </c>
      <c r="S187" s="7">
        <v>17</v>
      </c>
      <c r="T187" s="7">
        <v>18</v>
      </c>
      <c r="U187" s="7">
        <v>19</v>
      </c>
      <c r="V187" s="7">
        <v>20</v>
      </c>
      <c r="W187" s="7">
        <v>21</v>
      </c>
      <c r="X187" s="7">
        <v>22</v>
      </c>
      <c r="Y187" s="7">
        <v>24</v>
      </c>
      <c r="Z187" s="7">
        <v>25</v>
      </c>
      <c r="AA187" s="7">
        <v>26</v>
      </c>
      <c r="AB187" s="7">
        <v>27</v>
      </c>
      <c r="AC187" s="7">
        <v>29</v>
      </c>
      <c r="AD187" s="7">
        <v>30</v>
      </c>
      <c r="AE187" s="7">
        <v>32</v>
      </c>
      <c r="AF187" s="7">
        <v>33</v>
      </c>
      <c r="AG187" s="7">
        <v>34</v>
      </c>
      <c r="AH187" s="7">
        <v>35</v>
      </c>
      <c r="AI187" s="7">
        <v>36</v>
      </c>
      <c r="AJ187" s="7">
        <v>37</v>
      </c>
      <c r="AK187" s="7">
        <v>38</v>
      </c>
      <c r="AL187" s="7">
        <v>39</v>
      </c>
      <c r="AM187" s="7">
        <v>40</v>
      </c>
      <c r="AN187" s="7">
        <v>41</v>
      </c>
      <c r="AO187" s="7">
        <v>42</v>
      </c>
      <c r="AP187" s="7">
        <v>44</v>
      </c>
      <c r="AQ187" s="7">
        <v>67</v>
      </c>
      <c r="AR187" s="7">
        <v>48</v>
      </c>
      <c r="AS187" s="7">
        <v>49</v>
      </c>
      <c r="AT187" s="7">
        <v>51</v>
      </c>
      <c r="AU187" s="7">
        <v>52</v>
      </c>
      <c r="AV187" s="7">
        <v>53</v>
      </c>
      <c r="AW187" s="7">
        <v>54</v>
      </c>
      <c r="AX187" s="7">
        <v>55</v>
      </c>
      <c r="AY187" s="7">
        <v>56</v>
      </c>
      <c r="AZ187" s="7">
        <v>57</v>
      </c>
      <c r="BA187" s="7">
        <v>58</v>
      </c>
      <c r="BB187" s="7">
        <v>59</v>
      </c>
      <c r="BC187" s="7">
        <v>60</v>
      </c>
      <c r="BD187" s="7">
        <v>61</v>
      </c>
      <c r="BE187" s="7">
        <v>62</v>
      </c>
      <c r="BF187" s="7">
        <v>63</v>
      </c>
      <c r="BG187" s="7">
        <v>64</v>
      </c>
      <c r="BH187" s="7">
        <v>65</v>
      </c>
      <c r="BI187" s="7">
        <v>66</v>
      </c>
      <c r="BJ187" s="7">
        <v>67</v>
      </c>
    </row>
    <row r="188" spans="1:62" ht="180.75" customHeight="1" x14ac:dyDescent="0.25">
      <c r="A188" s="8"/>
      <c r="B188" s="9" t="s">
        <v>3</v>
      </c>
      <c r="C188" s="10" t="s">
        <v>4</v>
      </c>
      <c r="D188" s="11" t="str">
        <f t="shared" ref="D188:BJ188" si="68">D8</f>
        <v>Julian Uribe</v>
      </c>
      <c r="E188" s="11" t="str">
        <f t="shared" si="68"/>
        <v>Yulian Sanchez</v>
      </c>
      <c r="F188" s="11" t="str">
        <f t="shared" si="68"/>
        <v>Francisco Moreno</v>
      </c>
      <c r="G188" s="11" t="str">
        <f t="shared" si="68"/>
        <v>Mauricio Guerrero</v>
      </c>
      <c r="H188" s="11" t="str">
        <f t="shared" si="68"/>
        <v>Gustavo Guerrero</v>
      </c>
      <c r="I188" s="11" t="str">
        <f t="shared" si="68"/>
        <v>Gerardo Martinez</v>
      </c>
      <c r="J188" s="11" t="str">
        <f t="shared" si="68"/>
        <v>Nora Perez</v>
      </c>
      <c r="K188" s="11" t="str">
        <f t="shared" si="68"/>
        <v>Laura Rodriguez</v>
      </c>
      <c r="L188" s="11" t="str">
        <f t="shared" si="68"/>
        <v>Jhoana Moreno</v>
      </c>
      <c r="M188" s="11" t="str">
        <f t="shared" si="68"/>
        <v xml:space="preserve">Yoselin Salinas </v>
      </c>
      <c r="N188" s="11" t="str">
        <f t="shared" si="68"/>
        <v>Luis Diaz</v>
      </c>
      <c r="O188" s="11" t="str">
        <f t="shared" si="68"/>
        <v>Diela del Carmen</v>
      </c>
      <c r="P188" s="11" t="str">
        <f t="shared" si="68"/>
        <v>Paola Agredo</v>
      </c>
      <c r="Q188" s="11" t="str">
        <f t="shared" si="68"/>
        <v>Oscar Suarez</v>
      </c>
      <c r="R188" s="11" t="str">
        <f t="shared" si="68"/>
        <v>Paulo Figueroa</v>
      </c>
      <c r="S188" s="11" t="str">
        <f t="shared" si="68"/>
        <v xml:space="preserve">Jean Piere </v>
      </c>
      <c r="T188" s="11" t="str">
        <f t="shared" si="68"/>
        <v>David Diaz</v>
      </c>
      <c r="U188" s="11" t="str">
        <f t="shared" si="68"/>
        <v xml:space="preserve">Christian Giraldo </v>
      </c>
      <c r="V188" s="11" t="str">
        <f t="shared" si="68"/>
        <v>Viviana Hurtado</v>
      </c>
      <c r="W188" s="11" t="str">
        <f t="shared" si="68"/>
        <v>James Chavez Ocampo</v>
      </c>
      <c r="X188" s="11" t="str">
        <f t="shared" si="68"/>
        <v>Luis Felipe Sanchez</v>
      </c>
      <c r="Y188" s="11" t="str">
        <f t="shared" si="68"/>
        <v>Laura Ossa</v>
      </c>
      <c r="Z188" s="11" t="str">
        <f t="shared" si="68"/>
        <v>Elizabeth Montealegre</v>
      </c>
      <c r="AA188" s="11" t="str">
        <f t="shared" si="68"/>
        <v>Liliana Montealegre</v>
      </c>
      <c r="AB188" s="11" t="str">
        <f t="shared" si="68"/>
        <v>Javier Andres Gomez</v>
      </c>
      <c r="AC188" s="11" t="str">
        <f t="shared" si="68"/>
        <v>Diana Carolina Marin</v>
      </c>
      <c r="AD188" s="11" t="str">
        <f t="shared" si="68"/>
        <v>Diego Fernando Saavedra</v>
      </c>
      <c r="AE188" s="11" t="str">
        <f t="shared" si="68"/>
        <v>Oscar Mayor</v>
      </c>
      <c r="AF188" s="11" t="str">
        <f t="shared" si="68"/>
        <v>Ingrid Toro</v>
      </c>
      <c r="AG188" s="11" t="str">
        <f t="shared" si="68"/>
        <v>Ana Marcela Castro</v>
      </c>
      <c r="AH188" s="11" t="str">
        <f t="shared" si="68"/>
        <v>Ricardo Gutierrez</v>
      </c>
      <c r="AI188" s="11" t="str">
        <f t="shared" si="68"/>
        <v>Natalia Navarro</v>
      </c>
      <c r="AJ188" s="11" t="str">
        <f t="shared" si="68"/>
        <v>Diana Perez</v>
      </c>
      <c r="AK188" s="11" t="str">
        <f t="shared" si="68"/>
        <v>Sergio Diaz</v>
      </c>
      <c r="AL188" s="11" t="str">
        <f t="shared" si="68"/>
        <v>William Oviedo</v>
      </c>
      <c r="AM188" s="11" t="str">
        <f t="shared" si="68"/>
        <v>Armando Orjuela</v>
      </c>
      <c r="AN188" s="11" t="str">
        <f t="shared" si="68"/>
        <v xml:space="preserve">Helen Muñoz </v>
      </c>
      <c r="AO188" s="11" t="str">
        <f t="shared" si="68"/>
        <v>Julieth Cruz - Luiz Diaz</v>
      </c>
      <c r="AP188" s="11" t="str">
        <f t="shared" si="68"/>
        <v>Jose Luis Montoya</v>
      </c>
      <c r="AQ188" s="11" t="str">
        <f t="shared" ref="AQ188" si="69">AQ8</f>
        <v>Julian Useche</v>
      </c>
      <c r="AR188" s="11" t="str">
        <f t="shared" si="68"/>
        <v>Sebastian Posada</v>
      </c>
      <c r="AS188" s="11" t="str">
        <f t="shared" si="68"/>
        <v>Juan Cifuentes</v>
      </c>
      <c r="AT188" s="11" t="str">
        <f t="shared" si="68"/>
        <v>Rodrigo Dominguez</v>
      </c>
      <c r="AU188" s="11" t="str">
        <f t="shared" si="68"/>
        <v xml:space="preserve">Carlos Calero </v>
      </c>
      <c r="AV188" s="11" t="str">
        <f t="shared" si="68"/>
        <v>Lewhis Spirth Montaño</v>
      </c>
      <c r="AW188" s="11" t="str">
        <f t="shared" si="68"/>
        <v>Sebastian Castro Luna</v>
      </c>
      <c r="AX188" s="11" t="str">
        <f t="shared" si="68"/>
        <v>Francia Orozco</v>
      </c>
      <c r="AY188" s="11" t="str">
        <f t="shared" si="68"/>
        <v>Fredy Rojas</v>
      </c>
      <c r="AZ188" s="11" t="str">
        <f t="shared" si="68"/>
        <v>John Quiñonez</v>
      </c>
      <c r="BA188" s="11" t="str">
        <f t="shared" si="68"/>
        <v>Yuli Guzman</v>
      </c>
      <c r="BB188" s="11" t="str">
        <f t="shared" si="68"/>
        <v>Luis Alfredo Plaza</v>
      </c>
      <c r="BC188" s="11" t="str">
        <f t="shared" si="68"/>
        <v>Naty Bermudez</v>
      </c>
      <c r="BD188" s="11" t="str">
        <f t="shared" si="68"/>
        <v>Edgar Ivan Giraldo Duran</v>
      </c>
      <c r="BE188" s="11" t="str">
        <f t="shared" si="68"/>
        <v>Caterine Filigrana</v>
      </c>
      <c r="BF188" s="11" t="str">
        <f t="shared" si="68"/>
        <v>Adriana Belalcazar</v>
      </c>
      <c r="BG188" s="11" t="str">
        <f t="shared" si="68"/>
        <v>Angelisa Hurtado</v>
      </c>
      <c r="BH188" s="11" t="str">
        <f t="shared" si="68"/>
        <v>Isabela Muñoz</v>
      </c>
      <c r="BI188" s="11" t="str">
        <f t="shared" si="68"/>
        <v>Francisco Moreno Alvarez</v>
      </c>
      <c r="BJ188" s="11" t="str">
        <f t="shared" si="68"/>
        <v>Angelica Maria Panesso</v>
      </c>
    </row>
    <row r="189" spans="1:62" ht="23.25" customHeight="1" x14ac:dyDescent="0.25">
      <c r="A189" s="63"/>
      <c r="B189" s="14" t="s">
        <v>93</v>
      </c>
      <c r="C189" s="15"/>
      <c r="D189" s="16">
        <v>2</v>
      </c>
      <c r="E189" s="16">
        <v>1</v>
      </c>
      <c r="F189" s="16">
        <v>3</v>
      </c>
      <c r="G189" s="17">
        <v>2</v>
      </c>
      <c r="H189" s="16">
        <v>2</v>
      </c>
      <c r="I189" s="16">
        <v>3</v>
      </c>
      <c r="J189" s="16">
        <v>2</v>
      </c>
      <c r="K189" s="16">
        <v>1</v>
      </c>
      <c r="L189" s="16">
        <v>2</v>
      </c>
      <c r="M189" s="16">
        <v>1</v>
      </c>
      <c r="N189" s="16">
        <v>2</v>
      </c>
      <c r="O189" s="16">
        <v>2</v>
      </c>
      <c r="P189" s="16">
        <v>2</v>
      </c>
      <c r="Q189" s="16">
        <v>2</v>
      </c>
      <c r="R189" s="17">
        <v>1</v>
      </c>
      <c r="S189" s="16">
        <v>1</v>
      </c>
      <c r="T189" s="16">
        <v>2</v>
      </c>
      <c r="U189" s="16">
        <v>2</v>
      </c>
      <c r="V189" s="16">
        <v>2</v>
      </c>
      <c r="W189" s="16">
        <v>2</v>
      </c>
      <c r="X189" s="16">
        <v>2</v>
      </c>
      <c r="Y189" s="16">
        <v>2</v>
      </c>
      <c r="Z189" s="16">
        <v>2</v>
      </c>
      <c r="AA189" s="17">
        <v>2</v>
      </c>
      <c r="AB189" s="16">
        <v>2</v>
      </c>
      <c r="AC189" s="16">
        <v>2</v>
      </c>
      <c r="AD189" s="17">
        <v>0</v>
      </c>
      <c r="AE189" s="17">
        <v>2</v>
      </c>
      <c r="AF189" s="17">
        <v>2</v>
      </c>
      <c r="AG189" s="16">
        <v>2</v>
      </c>
      <c r="AH189" s="16">
        <v>2</v>
      </c>
      <c r="AI189" s="17">
        <v>1</v>
      </c>
      <c r="AJ189" s="16">
        <v>2</v>
      </c>
      <c r="AK189" s="16">
        <v>2</v>
      </c>
      <c r="AL189" s="16">
        <v>0</v>
      </c>
      <c r="AM189" s="16">
        <v>1</v>
      </c>
      <c r="AN189" s="16">
        <v>2</v>
      </c>
      <c r="AO189" s="16">
        <v>2</v>
      </c>
      <c r="AP189" s="17">
        <v>2</v>
      </c>
      <c r="AQ189" s="16">
        <v>2</v>
      </c>
      <c r="AR189" s="17">
        <v>2</v>
      </c>
      <c r="AS189" s="17">
        <v>1</v>
      </c>
      <c r="AT189" s="16">
        <v>2</v>
      </c>
      <c r="AU189" s="17">
        <v>2</v>
      </c>
      <c r="AV189" s="16">
        <v>3</v>
      </c>
      <c r="AW189" s="16">
        <v>3</v>
      </c>
      <c r="AX189" s="16">
        <v>2</v>
      </c>
      <c r="AY189" s="16">
        <v>2</v>
      </c>
      <c r="AZ189" s="16">
        <v>1</v>
      </c>
      <c r="BA189" s="16">
        <v>2</v>
      </c>
      <c r="BB189" s="16">
        <v>1</v>
      </c>
      <c r="BC189" s="17">
        <v>2</v>
      </c>
      <c r="BD189" s="16">
        <v>2</v>
      </c>
      <c r="BE189" s="17">
        <v>2</v>
      </c>
      <c r="BF189" s="17">
        <v>2</v>
      </c>
      <c r="BG189" s="16">
        <v>2</v>
      </c>
      <c r="BH189" s="17">
        <v>1</v>
      </c>
      <c r="BI189" s="16">
        <v>1</v>
      </c>
      <c r="BJ189" s="16">
        <v>1</v>
      </c>
    </row>
    <row r="190" spans="1:62" ht="22.5" customHeight="1" x14ac:dyDescent="0.25">
      <c r="A190" s="64"/>
      <c r="B190" s="14" t="s">
        <v>94</v>
      </c>
      <c r="C190" s="15"/>
      <c r="D190" s="16">
        <v>1</v>
      </c>
      <c r="E190" s="16">
        <v>1</v>
      </c>
      <c r="F190" s="16">
        <v>0</v>
      </c>
      <c r="G190" s="17">
        <v>0</v>
      </c>
      <c r="H190" s="16">
        <v>1</v>
      </c>
      <c r="I190" s="16">
        <v>2</v>
      </c>
      <c r="J190" s="16">
        <v>1</v>
      </c>
      <c r="K190" s="16">
        <v>2</v>
      </c>
      <c r="L190" s="16">
        <v>1</v>
      </c>
      <c r="M190" s="16">
        <v>2</v>
      </c>
      <c r="N190" s="16">
        <v>2</v>
      </c>
      <c r="O190" s="16">
        <v>1</v>
      </c>
      <c r="P190" s="16">
        <v>1</v>
      </c>
      <c r="Q190" s="16">
        <v>2</v>
      </c>
      <c r="R190" s="17">
        <v>0</v>
      </c>
      <c r="S190" s="16">
        <v>1</v>
      </c>
      <c r="T190" s="16">
        <v>1</v>
      </c>
      <c r="U190" s="16">
        <v>1</v>
      </c>
      <c r="V190" s="16">
        <v>1</v>
      </c>
      <c r="W190" s="16">
        <v>1</v>
      </c>
      <c r="X190" s="16">
        <v>1</v>
      </c>
      <c r="Y190" s="16">
        <v>1</v>
      </c>
      <c r="Z190" s="16">
        <v>0</v>
      </c>
      <c r="AA190" s="17">
        <v>0</v>
      </c>
      <c r="AB190" s="16">
        <v>1</v>
      </c>
      <c r="AC190" s="16">
        <v>1</v>
      </c>
      <c r="AD190" s="17">
        <v>2</v>
      </c>
      <c r="AE190" s="17">
        <v>1</v>
      </c>
      <c r="AF190" s="17">
        <v>0</v>
      </c>
      <c r="AG190" s="16">
        <v>1</v>
      </c>
      <c r="AH190" s="16">
        <v>1</v>
      </c>
      <c r="AI190" s="17">
        <v>1</v>
      </c>
      <c r="AJ190" s="16">
        <v>0</v>
      </c>
      <c r="AK190" s="16">
        <v>1</v>
      </c>
      <c r="AL190" s="16">
        <v>2</v>
      </c>
      <c r="AM190" s="16">
        <v>2</v>
      </c>
      <c r="AN190" s="16">
        <v>1</v>
      </c>
      <c r="AO190" s="16">
        <v>2</v>
      </c>
      <c r="AP190" s="17">
        <v>1</v>
      </c>
      <c r="AQ190" s="16">
        <v>2</v>
      </c>
      <c r="AR190" s="17">
        <v>1</v>
      </c>
      <c r="AS190" s="17">
        <v>2</v>
      </c>
      <c r="AT190" s="16">
        <v>1</v>
      </c>
      <c r="AU190" s="17">
        <v>1</v>
      </c>
      <c r="AV190" s="16">
        <v>1</v>
      </c>
      <c r="AW190" s="16">
        <v>1</v>
      </c>
      <c r="AX190" s="16">
        <v>1</v>
      </c>
      <c r="AY190" s="16">
        <v>1</v>
      </c>
      <c r="AZ190" s="16">
        <v>1</v>
      </c>
      <c r="BA190" s="16">
        <v>1</v>
      </c>
      <c r="BB190" s="16">
        <v>2</v>
      </c>
      <c r="BC190" s="17">
        <v>1</v>
      </c>
      <c r="BD190" s="16">
        <v>1</v>
      </c>
      <c r="BE190" s="17">
        <v>1</v>
      </c>
      <c r="BF190" s="17">
        <v>0</v>
      </c>
      <c r="BG190" s="16">
        <v>1</v>
      </c>
      <c r="BH190" s="17">
        <v>2</v>
      </c>
      <c r="BI190" s="16">
        <v>0</v>
      </c>
      <c r="BJ190" s="16">
        <v>1</v>
      </c>
    </row>
    <row r="191" spans="1:62" ht="15.75" customHeight="1" x14ac:dyDescent="0.25">
      <c r="A191" s="64"/>
      <c r="B191" s="18">
        <v>46186</v>
      </c>
      <c r="C191" s="60" t="s">
        <v>65</v>
      </c>
      <c r="D191" s="55">
        <f t="shared" ref="D191:BJ191" si="70">IF($C189="",0,IF(AND(D189=$C189,D190=$C190),5,IF(OR(AND(D189-D190&gt;0,$C189-$C190&gt;0),AND(D190-D189&gt;0,$C190-$C189&gt;0),AND(D189-D190=0,$C189-$C190=0)),2,0)+IF(OR(D189=$C189,D190=$C190),1,0)))</f>
        <v>0</v>
      </c>
      <c r="E191" s="55">
        <f t="shared" si="70"/>
        <v>0</v>
      </c>
      <c r="F191" s="55">
        <f t="shared" si="70"/>
        <v>0</v>
      </c>
      <c r="G191" s="55">
        <f t="shared" si="70"/>
        <v>0</v>
      </c>
      <c r="H191" s="55">
        <f t="shared" si="70"/>
        <v>0</v>
      </c>
      <c r="I191" s="55">
        <f t="shared" si="70"/>
        <v>0</v>
      </c>
      <c r="J191" s="55">
        <f t="shared" si="70"/>
        <v>0</v>
      </c>
      <c r="K191" s="55">
        <f t="shared" si="70"/>
        <v>0</v>
      </c>
      <c r="L191" s="55">
        <f t="shared" si="70"/>
        <v>0</v>
      </c>
      <c r="M191" s="55">
        <f t="shared" si="70"/>
        <v>0</v>
      </c>
      <c r="N191" s="55">
        <f t="shared" si="70"/>
        <v>0</v>
      </c>
      <c r="O191" s="55">
        <f t="shared" si="70"/>
        <v>0</v>
      </c>
      <c r="P191" s="55">
        <f t="shared" si="70"/>
        <v>0</v>
      </c>
      <c r="Q191" s="55">
        <f t="shared" si="70"/>
        <v>0</v>
      </c>
      <c r="R191" s="55">
        <f t="shared" si="70"/>
        <v>0</v>
      </c>
      <c r="S191" s="55">
        <f t="shared" si="70"/>
        <v>0</v>
      </c>
      <c r="T191" s="55">
        <f t="shared" si="70"/>
        <v>0</v>
      </c>
      <c r="U191" s="55">
        <f t="shared" si="70"/>
        <v>0</v>
      </c>
      <c r="V191" s="55">
        <f t="shared" si="70"/>
        <v>0</v>
      </c>
      <c r="W191" s="55">
        <f t="shared" si="70"/>
        <v>0</v>
      </c>
      <c r="X191" s="55">
        <f t="shared" si="70"/>
        <v>0</v>
      </c>
      <c r="Y191" s="55">
        <f t="shared" si="70"/>
        <v>0</v>
      </c>
      <c r="Z191" s="55">
        <f t="shared" si="70"/>
        <v>0</v>
      </c>
      <c r="AA191" s="55">
        <f t="shared" si="70"/>
        <v>0</v>
      </c>
      <c r="AB191" s="55">
        <f t="shared" si="70"/>
        <v>0</v>
      </c>
      <c r="AC191" s="55">
        <f t="shared" si="70"/>
        <v>0</v>
      </c>
      <c r="AD191" s="55">
        <f t="shared" si="70"/>
        <v>0</v>
      </c>
      <c r="AE191" s="55">
        <f t="shared" si="70"/>
        <v>0</v>
      </c>
      <c r="AF191" s="55">
        <f t="shared" si="70"/>
        <v>0</v>
      </c>
      <c r="AG191" s="55">
        <f t="shared" si="70"/>
        <v>0</v>
      </c>
      <c r="AH191" s="55">
        <f t="shared" si="70"/>
        <v>0</v>
      </c>
      <c r="AI191" s="55">
        <f t="shared" si="70"/>
        <v>0</v>
      </c>
      <c r="AJ191" s="55">
        <f t="shared" si="70"/>
        <v>0</v>
      </c>
      <c r="AK191" s="55">
        <f t="shared" si="70"/>
        <v>0</v>
      </c>
      <c r="AL191" s="55">
        <f t="shared" si="70"/>
        <v>0</v>
      </c>
      <c r="AM191" s="55">
        <f t="shared" si="70"/>
        <v>0</v>
      </c>
      <c r="AN191" s="55">
        <f t="shared" si="70"/>
        <v>0</v>
      </c>
      <c r="AO191" s="55">
        <f t="shared" si="70"/>
        <v>0</v>
      </c>
      <c r="AP191" s="55">
        <f t="shared" si="70"/>
        <v>0</v>
      </c>
      <c r="AQ191" s="55">
        <f t="shared" ref="AQ191" si="71">IF($C189="",0,IF(AND(AQ189=$C189,AQ190=$C190),5,IF(OR(AND(AQ189-AQ190&gt;0,$C189-$C190&gt;0),AND(AQ190-AQ189&gt;0,$C190-$C189&gt;0),AND(AQ189-AQ190=0,$C189-$C190=0)),2,0)+IF(OR(AQ189=$C189,AQ190=$C190),1,0)))</f>
        <v>0</v>
      </c>
      <c r="AR191" s="55">
        <f t="shared" si="70"/>
        <v>0</v>
      </c>
      <c r="AS191" s="55">
        <f t="shared" si="70"/>
        <v>0</v>
      </c>
      <c r="AT191" s="55">
        <f t="shared" si="70"/>
        <v>0</v>
      </c>
      <c r="AU191" s="55">
        <f t="shared" si="70"/>
        <v>0</v>
      </c>
      <c r="AV191" s="55">
        <f t="shared" si="70"/>
        <v>0</v>
      </c>
      <c r="AW191" s="55">
        <f t="shared" si="70"/>
        <v>0</v>
      </c>
      <c r="AX191" s="55">
        <f t="shared" si="70"/>
        <v>0</v>
      </c>
      <c r="AY191" s="55">
        <f t="shared" si="70"/>
        <v>0</v>
      </c>
      <c r="AZ191" s="55">
        <f t="shared" si="70"/>
        <v>0</v>
      </c>
      <c r="BA191" s="55">
        <f t="shared" si="70"/>
        <v>0</v>
      </c>
      <c r="BB191" s="55">
        <f t="shared" si="70"/>
        <v>0</v>
      </c>
      <c r="BC191" s="55">
        <f t="shared" si="70"/>
        <v>0</v>
      </c>
      <c r="BD191" s="55">
        <f t="shared" si="70"/>
        <v>0</v>
      </c>
      <c r="BE191" s="55">
        <f t="shared" si="70"/>
        <v>0</v>
      </c>
      <c r="BF191" s="55">
        <f t="shared" si="70"/>
        <v>0</v>
      </c>
      <c r="BG191" s="55">
        <f t="shared" si="70"/>
        <v>0</v>
      </c>
      <c r="BH191" s="55">
        <f t="shared" si="70"/>
        <v>0</v>
      </c>
      <c r="BI191" s="55">
        <f t="shared" si="70"/>
        <v>0</v>
      </c>
      <c r="BJ191" s="55">
        <f t="shared" si="70"/>
        <v>0</v>
      </c>
    </row>
    <row r="192" spans="1:62" ht="15.75" customHeight="1" x14ac:dyDescent="0.25">
      <c r="A192" s="65"/>
      <c r="B192" s="19">
        <v>0.70833333333333337</v>
      </c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</row>
    <row r="193" spans="1:62" ht="15.75" customHeight="1" x14ac:dyDescent="0.25">
      <c r="A193" s="13"/>
      <c r="B193" s="13"/>
      <c r="C193" s="13"/>
      <c r="D193" s="2"/>
      <c r="E193" s="2"/>
      <c r="F193" s="2"/>
      <c r="G193" s="2"/>
      <c r="H193" s="3"/>
      <c r="I193" s="3"/>
      <c r="J193" s="3"/>
    </row>
    <row r="194" spans="1:62" ht="18.75" customHeight="1" x14ac:dyDescent="0.25">
      <c r="A194" s="63"/>
      <c r="B194" s="14" t="s">
        <v>95</v>
      </c>
      <c r="C194" s="15"/>
      <c r="D194" s="16">
        <v>2</v>
      </c>
      <c r="E194" s="16">
        <v>1</v>
      </c>
      <c r="F194" s="16">
        <v>2</v>
      </c>
      <c r="G194" s="17">
        <v>1</v>
      </c>
      <c r="H194" s="16">
        <v>1</v>
      </c>
      <c r="I194" s="16">
        <v>4</v>
      </c>
      <c r="J194" s="16">
        <v>1</v>
      </c>
      <c r="K194" s="16">
        <v>0</v>
      </c>
      <c r="L194" s="16">
        <v>1</v>
      </c>
      <c r="M194" s="16">
        <v>2</v>
      </c>
      <c r="N194" s="16">
        <v>2</v>
      </c>
      <c r="O194" s="16">
        <v>2</v>
      </c>
      <c r="P194" s="16">
        <v>1</v>
      </c>
      <c r="Q194" s="16">
        <v>0</v>
      </c>
      <c r="R194" s="17">
        <v>1</v>
      </c>
      <c r="S194" s="16">
        <v>1</v>
      </c>
      <c r="T194" s="16">
        <v>2</v>
      </c>
      <c r="U194" s="16">
        <v>3</v>
      </c>
      <c r="V194" s="16">
        <v>1</v>
      </c>
      <c r="W194" s="16">
        <v>2</v>
      </c>
      <c r="X194" s="16">
        <v>1</v>
      </c>
      <c r="Y194" s="16">
        <v>1</v>
      </c>
      <c r="Z194" s="16">
        <v>2</v>
      </c>
      <c r="AA194" s="17">
        <v>1</v>
      </c>
      <c r="AB194" s="16">
        <v>1</v>
      </c>
      <c r="AC194" s="16">
        <v>1</v>
      </c>
      <c r="AD194" s="17">
        <v>3</v>
      </c>
      <c r="AE194" s="17">
        <v>1</v>
      </c>
      <c r="AF194" s="17">
        <v>1</v>
      </c>
      <c r="AG194" s="16">
        <v>1</v>
      </c>
      <c r="AH194" s="16">
        <v>1</v>
      </c>
      <c r="AI194" s="17">
        <v>2</v>
      </c>
      <c r="AJ194" s="16">
        <v>1</v>
      </c>
      <c r="AK194" s="16">
        <v>1</v>
      </c>
      <c r="AL194" s="16">
        <v>2</v>
      </c>
      <c r="AM194" s="16">
        <v>2</v>
      </c>
      <c r="AN194" s="16">
        <v>2</v>
      </c>
      <c r="AO194" s="16">
        <v>2</v>
      </c>
      <c r="AP194" s="17">
        <v>1</v>
      </c>
      <c r="AQ194" s="16">
        <v>1</v>
      </c>
      <c r="AR194" s="17">
        <v>2</v>
      </c>
      <c r="AS194" s="17">
        <v>2</v>
      </c>
      <c r="AT194" s="16">
        <v>2</v>
      </c>
      <c r="AU194" s="17">
        <v>1</v>
      </c>
      <c r="AV194" s="16">
        <v>2</v>
      </c>
      <c r="AW194" s="16">
        <v>1</v>
      </c>
      <c r="AX194" s="16">
        <v>2</v>
      </c>
      <c r="AY194" s="16">
        <v>2</v>
      </c>
      <c r="AZ194" s="16">
        <v>0</v>
      </c>
      <c r="BA194" s="16">
        <v>1</v>
      </c>
      <c r="BB194" s="16">
        <v>1</v>
      </c>
      <c r="BC194" s="17">
        <v>2</v>
      </c>
      <c r="BD194" s="16">
        <v>1</v>
      </c>
      <c r="BE194" s="17">
        <v>1</v>
      </c>
      <c r="BF194" s="17">
        <v>2</v>
      </c>
      <c r="BG194" s="16">
        <v>2</v>
      </c>
      <c r="BH194" s="17">
        <v>2</v>
      </c>
      <c r="BI194" s="16">
        <v>3</v>
      </c>
      <c r="BJ194" s="16">
        <v>1</v>
      </c>
    </row>
    <row r="195" spans="1:62" ht="22.5" customHeight="1" x14ac:dyDescent="0.25">
      <c r="A195" s="64"/>
      <c r="B195" s="14" t="s">
        <v>96</v>
      </c>
      <c r="C195" s="15"/>
      <c r="D195" s="16">
        <v>0</v>
      </c>
      <c r="E195" s="16">
        <v>0</v>
      </c>
      <c r="F195" s="16">
        <v>2</v>
      </c>
      <c r="G195" s="17">
        <v>0</v>
      </c>
      <c r="H195" s="16">
        <v>0</v>
      </c>
      <c r="I195" s="16">
        <v>1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7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3</v>
      </c>
      <c r="X195" s="16">
        <v>0</v>
      </c>
      <c r="Y195" s="16">
        <v>0</v>
      </c>
      <c r="Z195" s="16">
        <v>0</v>
      </c>
      <c r="AA195" s="17">
        <v>0</v>
      </c>
      <c r="AB195" s="16">
        <v>0</v>
      </c>
      <c r="AC195" s="16">
        <v>0</v>
      </c>
      <c r="AD195" s="17">
        <v>1</v>
      </c>
      <c r="AE195" s="17">
        <v>0</v>
      </c>
      <c r="AF195" s="17">
        <v>1</v>
      </c>
      <c r="AG195" s="16">
        <v>0</v>
      </c>
      <c r="AH195" s="16">
        <v>1</v>
      </c>
      <c r="AI195" s="17">
        <v>0</v>
      </c>
      <c r="AJ195" s="16">
        <v>2</v>
      </c>
      <c r="AK195" s="16">
        <v>0</v>
      </c>
      <c r="AL195" s="16">
        <v>1</v>
      </c>
      <c r="AM195" s="16">
        <v>2</v>
      </c>
      <c r="AN195" s="16">
        <v>1</v>
      </c>
      <c r="AO195" s="16">
        <v>1</v>
      </c>
      <c r="AP195" s="17">
        <v>0</v>
      </c>
      <c r="AQ195" s="16">
        <v>0</v>
      </c>
      <c r="AR195" s="17">
        <v>0</v>
      </c>
      <c r="AS195" s="17">
        <v>0</v>
      </c>
      <c r="AT195" s="16">
        <v>1</v>
      </c>
      <c r="AU195" s="17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1</v>
      </c>
      <c r="BA195" s="16">
        <v>1</v>
      </c>
      <c r="BB195" s="16">
        <v>2</v>
      </c>
      <c r="BC195" s="17">
        <v>0</v>
      </c>
      <c r="BD195" s="16">
        <v>0</v>
      </c>
      <c r="BE195" s="17">
        <v>0</v>
      </c>
      <c r="BF195" s="17">
        <v>1</v>
      </c>
      <c r="BG195" s="16">
        <v>1</v>
      </c>
      <c r="BH195" s="17">
        <v>0</v>
      </c>
      <c r="BI195" s="16">
        <v>2</v>
      </c>
      <c r="BJ195" s="16">
        <v>0</v>
      </c>
    </row>
    <row r="196" spans="1:62" ht="15.75" customHeight="1" x14ac:dyDescent="0.25">
      <c r="A196" s="64"/>
      <c r="B196" s="18">
        <v>46186</v>
      </c>
      <c r="C196" s="60" t="s">
        <v>65</v>
      </c>
      <c r="D196" s="55">
        <f t="shared" ref="D196:BJ196" si="72">IF($C194="",0,IF(AND(D194=$C194,D195=$C195),5,IF(OR(AND(D194-D195&gt;0,$C194-$C195&gt;0),AND(D195-D194&gt;0,$C195-$C194&gt;0),AND(D194-D195=0,$C194-$C195=0)),2,0)+IF(OR(D194=$C194,D195=$C195),1,0)))</f>
        <v>0</v>
      </c>
      <c r="E196" s="55">
        <f t="shared" si="72"/>
        <v>0</v>
      </c>
      <c r="F196" s="55">
        <f t="shared" si="72"/>
        <v>0</v>
      </c>
      <c r="G196" s="55">
        <f t="shared" si="72"/>
        <v>0</v>
      </c>
      <c r="H196" s="55">
        <f t="shared" si="72"/>
        <v>0</v>
      </c>
      <c r="I196" s="55">
        <f t="shared" si="72"/>
        <v>0</v>
      </c>
      <c r="J196" s="55">
        <f t="shared" si="72"/>
        <v>0</v>
      </c>
      <c r="K196" s="55">
        <f t="shared" si="72"/>
        <v>0</v>
      </c>
      <c r="L196" s="55">
        <f t="shared" si="72"/>
        <v>0</v>
      </c>
      <c r="M196" s="55">
        <f t="shared" si="72"/>
        <v>0</v>
      </c>
      <c r="N196" s="55">
        <f t="shared" si="72"/>
        <v>0</v>
      </c>
      <c r="O196" s="55">
        <f t="shared" si="72"/>
        <v>0</v>
      </c>
      <c r="P196" s="55">
        <f t="shared" si="72"/>
        <v>0</v>
      </c>
      <c r="Q196" s="55">
        <f t="shared" si="72"/>
        <v>0</v>
      </c>
      <c r="R196" s="55">
        <f t="shared" si="72"/>
        <v>0</v>
      </c>
      <c r="S196" s="55">
        <f t="shared" si="72"/>
        <v>0</v>
      </c>
      <c r="T196" s="55">
        <f t="shared" si="72"/>
        <v>0</v>
      </c>
      <c r="U196" s="55">
        <f t="shared" si="72"/>
        <v>0</v>
      </c>
      <c r="V196" s="55">
        <f t="shared" si="72"/>
        <v>0</v>
      </c>
      <c r="W196" s="55">
        <f t="shared" si="72"/>
        <v>0</v>
      </c>
      <c r="X196" s="55">
        <f t="shared" si="72"/>
        <v>0</v>
      </c>
      <c r="Y196" s="55">
        <f t="shared" si="72"/>
        <v>0</v>
      </c>
      <c r="Z196" s="55">
        <f t="shared" si="72"/>
        <v>0</v>
      </c>
      <c r="AA196" s="55">
        <f t="shared" si="72"/>
        <v>0</v>
      </c>
      <c r="AB196" s="55">
        <f t="shared" si="72"/>
        <v>0</v>
      </c>
      <c r="AC196" s="55">
        <f t="shared" si="72"/>
        <v>0</v>
      </c>
      <c r="AD196" s="55">
        <f t="shared" si="72"/>
        <v>0</v>
      </c>
      <c r="AE196" s="55">
        <f t="shared" si="72"/>
        <v>0</v>
      </c>
      <c r="AF196" s="55">
        <f t="shared" si="72"/>
        <v>0</v>
      </c>
      <c r="AG196" s="55">
        <f t="shared" si="72"/>
        <v>0</v>
      </c>
      <c r="AH196" s="55">
        <f t="shared" si="72"/>
        <v>0</v>
      </c>
      <c r="AI196" s="55">
        <f t="shared" si="72"/>
        <v>0</v>
      </c>
      <c r="AJ196" s="55">
        <f t="shared" si="72"/>
        <v>0</v>
      </c>
      <c r="AK196" s="55">
        <f t="shared" si="72"/>
        <v>0</v>
      </c>
      <c r="AL196" s="55">
        <f t="shared" si="72"/>
        <v>0</v>
      </c>
      <c r="AM196" s="55">
        <f t="shared" si="72"/>
        <v>0</v>
      </c>
      <c r="AN196" s="55">
        <f t="shared" si="72"/>
        <v>0</v>
      </c>
      <c r="AO196" s="55">
        <f t="shared" si="72"/>
        <v>0</v>
      </c>
      <c r="AP196" s="55">
        <f t="shared" si="72"/>
        <v>0</v>
      </c>
      <c r="AQ196" s="55">
        <f t="shared" ref="AQ196" si="73">IF($C194="",0,IF(AND(AQ194=$C194,AQ195=$C195),5,IF(OR(AND(AQ194-AQ195&gt;0,$C194-$C195&gt;0),AND(AQ195-AQ194&gt;0,$C195-$C194&gt;0),AND(AQ194-AQ195=0,$C194-$C195=0)),2,0)+IF(OR(AQ194=$C194,AQ195=$C195),1,0)))</f>
        <v>0</v>
      </c>
      <c r="AR196" s="55">
        <f t="shared" si="72"/>
        <v>0</v>
      </c>
      <c r="AS196" s="55">
        <f t="shared" si="72"/>
        <v>0</v>
      </c>
      <c r="AT196" s="55">
        <f t="shared" si="72"/>
        <v>0</v>
      </c>
      <c r="AU196" s="55">
        <f t="shared" si="72"/>
        <v>0</v>
      </c>
      <c r="AV196" s="55">
        <f t="shared" si="72"/>
        <v>0</v>
      </c>
      <c r="AW196" s="55">
        <f t="shared" si="72"/>
        <v>0</v>
      </c>
      <c r="AX196" s="55">
        <f t="shared" si="72"/>
        <v>0</v>
      </c>
      <c r="AY196" s="55">
        <f t="shared" si="72"/>
        <v>0</v>
      </c>
      <c r="AZ196" s="55">
        <f t="shared" si="72"/>
        <v>0</v>
      </c>
      <c r="BA196" s="55">
        <f t="shared" si="72"/>
        <v>0</v>
      </c>
      <c r="BB196" s="55">
        <f t="shared" si="72"/>
        <v>0</v>
      </c>
      <c r="BC196" s="55">
        <f t="shared" si="72"/>
        <v>0</v>
      </c>
      <c r="BD196" s="55">
        <f t="shared" si="72"/>
        <v>0</v>
      </c>
      <c r="BE196" s="55">
        <f t="shared" si="72"/>
        <v>0</v>
      </c>
      <c r="BF196" s="55">
        <f t="shared" si="72"/>
        <v>0</v>
      </c>
      <c r="BG196" s="55">
        <f t="shared" si="72"/>
        <v>0</v>
      </c>
      <c r="BH196" s="55">
        <f t="shared" si="72"/>
        <v>0</v>
      </c>
      <c r="BI196" s="55">
        <f t="shared" si="72"/>
        <v>0</v>
      </c>
      <c r="BJ196" s="55">
        <f t="shared" si="72"/>
        <v>0</v>
      </c>
    </row>
    <row r="197" spans="1:62" ht="15.75" customHeight="1" x14ac:dyDescent="0.25">
      <c r="A197" s="65"/>
      <c r="B197" s="19">
        <v>0.75</v>
      </c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</row>
    <row r="198" spans="1:62" ht="15.75" customHeight="1" x14ac:dyDescent="0.25">
      <c r="A198" s="13"/>
      <c r="B198" s="13"/>
      <c r="C198" s="2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>
        <v>1</v>
      </c>
      <c r="AO198" s="21"/>
      <c r="AP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</row>
    <row r="199" spans="1:62" ht="21" customHeight="1" x14ac:dyDescent="0.25">
      <c r="A199" s="63"/>
      <c r="B199" s="14" t="s">
        <v>93</v>
      </c>
      <c r="C199" s="15"/>
      <c r="D199" s="16">
        <v>2</v>
      </c>
      <c r="E199" s="16">
        <v>2</v>
      </c>
      <c r="F199" s="16">
        <v>2</v>
      </c>
      <c r="G199" s="17">
        <v>1</v>
      </c>
      <c r="H199" s="16">
        <v>1</v>
      </c>
      <c r="I199" s="16">
        <v>1</v>
      </c>
      <c r="J199" s="16">
        <v>1</v>
      </c>
      <c r="K199" s="16">
        <v>2</v>
      </c>
      <c r="L199" s="16">
        <v>2</v>
      </c>
      <c r="M199" s="16">
        <v>1</v>
      </c>
      <c r="N199" s="16">
        <v>1</v>
      </c>
      <c r="O199" s="16">
        <v>1</v>
      </c>
      <c r="P199" s="16">
        <v>1</v>
      </c>
      <c r="Q199" s="16">
        <v>3</v>
      </c>
      <c r="R199" s="17">
        <v>2</v>
      </c>
      <c r="S199" s="16">
        <v>2</v>
      </c>
      <c r="T199" s="16">
        <v>1</v>
      </c>
      <c r="U199" s="16">
        <v>1</v>
      </c>
      <c r="V199" s="16">
        <v>2</v>
      </c>
      <c r="W199" s="16">
        <v>1</v>
      </c>
      <c r="X199" s="16">
        <v>1</v>
      </c>
      <c r="Y199" s="16">
        <v>2</v>
      </c>
      <c r="Z199" s="16">
        <v>1</v>
      </c>
      <c r="AA199" s="17">
        <v>3</v>
      </c>
      <c r="AB199" s="16">
        <v>3</v>
      </c>
      <c r="AC199" s="16">
        <v>1</v>
      </c>
      <c r="AD199" s="17">
        <v>2</v>
      </c>
      <c r="AE199" s="17">
        <v>2</v>
      </c>
      <c r="AF199" s="17">
        <v>2</v>
      </c>
      <c r="AG199" s="16">
        <v>1</v>
      </c>
      <c r="AH199" s="16">
        <v>2</v>
      </c>
      <c r="AI199" s="17">
        <v>2</v>
      </c>
      <c r="AJ199" s="16">
        <v>2</v>
      </c>
      <c r="AK199" s="16">
        <v>3</v>
      </c>
      <c r="AL199" s="16">
        <v>1</v>
      </c>
      <c r="AM199" s="16">
        <v>3</v>
      </c>
      <c r="AN199" s="16">
        <v>1</v>
      </c>
      <c r="AO199" s="16">
        <v>2</v>
      </c>
      <c r="AP199" s="17">
        <v>2</v>
      </c>
      <c r="AQ199" s="16">
        <v>2</v>
      </c>
      <c r="AR199" s="17">
        <v>3</v>
      </c>
      <c r="AS199" s="17">
        <v>2</v>
      </c>
      <c r="AT199" s="16">
        <v>2</v>
      </c>
      <c r="AU199" s="17">
        <v>2</v>
      </c>
      <c r="AV199" s="16">
        <v>1</v>
      </c>
      <c r="AW199" s="16">
        <v>2</v>
      </c>
      <c r="AX199" s="16">
        <v>2</v>
      </c>
      <c r="AY199" s="16">
        <v>1</v>
      </c>
      <c r="AZ199" s="16">
        <v>2</v>
      </c>
      <c r="BA199" s="16">
        <v>2</v>
      </c>
      <c r="BB199" s="16">
        <v>1</v>
      </c>
      <c r="BC199" s="17">
        <v>1</v>
      </c>
      <c r="BD199" s="16">
        <v>2</v>
      </c>
      <c r="BE199" s="17">
        <v>1</v>
      </c>
      <c r="BF199" s="17">
        <v>2</v>
      </c>
      <c r="BG199" s="16">
        <v>1</v>
      </c>
      <c r="BH199" s="17">
        <v>2</v>
      </c>
      <c r="BI199" s="16">
        <v>1</v>
      </c>
      <c r="BJ199" s="16">
        <v>1</v>
      </c>
    </row>
    <row r="200" spans="1:62" ht="18" customHeight="1" x14ac:dyDescent="0.25">
      <c r="A200" s="64"/>
      <c r="B200" s="14" t="s">
        <v>95</v>
      </c>
      <c r="C200" s="15"/>
      <c r="D200" s="16">
        <v>1</v>
      </c>
      <c r="E200" s="16">
        <v>1</v>
      </c>
      <c r="F200" s="16">
        <v>0</v>
      </c>
      <c r="G200" s="17">
        <v>0</v>
      </c>
      <c r="H200" s="16">
        <v>1</v>
      </c>
      <c r="I200" s="16">
        <v>1</v>
      </c>
      <c r="J200" s="16">
        <v>1</v>
      </c>
      <c r="K200" s="16">
        <v>0</v>
      </c>
      <c r="L200" s="16">
        <v>0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  <c r="R200" s="17">
        <v>1</v>
      </c>
      <c r="S200" s="16">
        <v>1</v>
      </c>
      <c r="T200" s="16">
        <v>1</v>
      </c>
      <c r="U200" s="16">
        <v>1</v>
      </c>
      <c r="V200" s="16">
        <v>1</v>
      </c>
      <c r="W200" s="16">
        <v>1</v>
      </c>
      <c r="X200" s="16">
        <v>1</v>
      </c>
      <c r="Y200" s="16">
        <v>1</v>
      </c>
      <c r="Z200" s="16">
        <v>1</v>
      </c>
      <c r="AA200" s="17">
        <v>1</v>
      </c>
      <c r="AB200" s="16">
        <v>2</v>
      </c>
      <c r="AC200" s="16">
        <v>1</v>
      </c>
      <c r="AD200" s="17">
        <v>2</v>
      </c>
      <c r="AE200" s="17">
        <v>0</v>
      </c>
      <c r="AF200" s="17">
        <v>1</v>
      </c>
      <c r="AG200" s="16">
        <v>1</v>
      </c>
      <c r="AH200" s="16">
        <v>0</v>
      </c>
      <c r="AI200" s="17">
        <v>2</v>
      </c>
      <c r="AJ200" s="16">
        <v>2</v>
      </c>
      <c r="AK200" s="16">
        <v>1</v>
      </c>
      <c r="AL200" s="16">
        <v>1</v>
      </c>
      <c r="AM200" s="16">
        <v>2</v>
      </c>
      <c r="AN200" s="16">
        <v>0</v>
      </c>
      <c r="AO200" s="16">
        <v>1</v>
      </c>
      <c r="AP200" s="17">
        <v>0</v>
      </c>
      <c r="AQ200" s="16">
        <v>1</v>
      </c>
      <c r="AR200" s="17">
        <v>1</v>
      </c>
      <c r="AS200" s="17">
        <v>2</v>
      </c>
      <c r="AT200" s="16">
        <v>2</v>
      </c>
      <c r="AU200" s="17">
        <v>1</v>
      </c>
      <c r="AV200" s="16">
        <v>1</v>
      </c>
      <c r="AW200" s="16">
        <v>0</v>
      </c>
      <c r="AX200" s="16">
        <v>2</v>
      </c>
      <c r="AY200" s="16">
        <v>1</v>
      </c>
      <c r="AZ200" s="16">
        <v>0</v>
      </c>
      <c r="BA200" s="16">
        <v>0</v>
      </c>
      <c r="BB200" s="16">
        <v>0</v>
      </c>
      <c r="BC200" s="17">
        <v>1</v>
      </c>
      <c r="BD200" s="16">
        <v>1</v>
      </c>
      <c r="BE200" s="17">
        <v>1</v>
      </c>
      <c r="BF200" s="17">
        <v>1</v>
      </c>
      <c r="BG200" s="16">
        <v>0</v>
      </c>
      <c r="BH200" s="17">
        <v>1</v>
      </c>
      <c r="BI200" s="16">
        <v>1</v>
      </c>
      <c r="BJ200" s="16">
        <v>0</v>
      </c>
    </row>
    <row r="201" spans="1:62" ht="15.75" customHeight="1" x14ac:dyDescent="0.25">
      <c r="A201" s="64"/>
      <c r="B201" s="18">
        <v>46192</v>
      </c>
      <c r="C201" s="60" t="s">
        <v>65</v>
      </c>
      <c r="D201" s="55">
        <f t="shared" ref="D201:BJ201" si="74">IF($C199="",0,IF(AND(D199=$C199,D200=$C200),5,IF(OR(AND(D199-D200&gt;0,$C199-$C200&gt;0),AND(D200-D199&gt;0,$C200-$C199&gt;0),AND(D199-D200=0,$C199-$C200=0)),2,0)+IF(OR(D199=$C199,D200=$C200),1,0)))</f>
        <v>0</v>
      </c>
      <c r="E201" s="55">
        <f t="shared" si="74"/>
        <v>0</v>
      </c>
      <c r="F201" s="55">
        <f t="shared" si="74"/>
        <v>0</v>
      </c>
      <c r="G201" s="55">
        <f t="shared" si="74"/>
        <v>0</v>
      </c>
      <c r="H201" s="55">
        <f t="shared" si="74"/>
        <v>0</v>
      </c>
      <c r="I201" s="55">
        <f t="shared" si="74"/>
        <v>0</v>
      </c>
      <c r="J201" s="55">
        <f t="shared" si="74"/>
        <v>0</v>
      </c>
      <c r="K201" s="55">
        <f t="shared" si="74"/>
        <v>0</v>
      </c>
      <c r="L201" s="55">
        <f t="shared" si="74"/>
        <v>0</v>
      </c>
      <c r="M201" s="55">
        <f t="shared" si="74"/>
        <v>0</v>
      </c>
      <c r="N201" s="55">
        <f t="shared" si="74"/>
        <v>0</v>
      </c>
      <c r="O201" s="55">
        <f t="shared" si="74"/>
        <v>0</v>
      </c>
      <c r="P201" s="55">
        <f t="shared" si="74"/>
        <v>0</v>
      </c>
      <c r="Q201" s="55">
        <f t="shared" si="74"/>
        <v>0</v>
      </c>
      <c r="R201" s="55">
        <f t="shared" si="74"/>
        <v>0</v>
      </c>
      <c r="S201" s="55">
        <f t="shared" si="74"/>
        <v>0</v>
      </c>
      <c r="T201" s="55">
        <f t="shared" si="74"/>
        <v>0</v>
      </c>
      <c r="U201" s="55">
        <f t="shared" si="74"/>
        <v>0</v>
      </c>
      <c r="V201" s="55">
        <f t="shared" si="74"/>
        <v>0</v>
      </c>
      <c r="W201" s="55">
        <f t="shared" si="74"/>
        <v>0</v>
      </c>
      <c r="X201" s="55">
        <f t="shared" si="74"/>
        <v>0</v>
      </c>
      <c r="Y201" s="55">
        <f t="shared" si="74"/>
        <v>0</v>
      </c>
      <c r="Z201" s="55">
        <f t="shared" si="74"/>
        <v>0</v>
      </c>
      <c r="AA201" s="55">
        <f t="shared" si="74"/>
        <v>0</v>
      </c>
      <c r="AB201" s="55">
        <f t="shared" si="74"/>
        <v>0</v>
      </c>
      <c r="AC201" s="55">
        <f t="shared" si="74"/>
        <v>0</v>
      </c>
      <c r="AD201" s="55">
        <f t="shared" si="74"/>
        <v>0</v>
      </c>
      <c r="AE201" s="55">
        <f t="shared" si="74"/>
        <v>0</v>
      </c>
      <c r="AF201" s="55">
        <f t="shared" si="74"/>
        <v>0</v>
      </c>
      <c r="AG201" s="55">
        <f t="shared" si="74"/>
        <v>0</v>
      </c>
      <c r="AH201" s="55">
        <f t="shared" si="74"/>
        <v>0</v>
      </c>
      <c r="AI201" s="55">
        <f t="shared" si="74"/>
        <v>0</v>
      </c>
      <c r="AJ201" s="55">
        <f t="shared" si="74"/>
        <v>0</v>
      </c>
      <c r="AK201" s="55">
        <f t="shared" si="74"/>
        <v>0</v>
      </c>
      <c r="AL201" s="55">
        <f t="shared" si="74"/>
        <v>0</v>
      </c>
      <c r="AM201" s="55">
        <f t="shared" si="74"/>
        <v>0</v>
      </c>
      <c r="AN201" s="55">
        <f t="shared" si="74"/>
        <v>0</v>
      </c>
      <c r="AO201" s="55">
        <f t="shared" si="74"/>
        <v>0</v>
      </c>
      <c r="AP201" s="55">
        <f t="shared" si="74"/>
        <v>0</v>
      </c>
      <c r="AQ201" s="55">
        <f t="shared" ref="AQ201" si="75">IF($C199="",0,IF(AND(AQ199=$C199,AQ200=$C200),5,IF(OR(AND(AQ199-AQ200&gt;0,$C199-$C200&gt;0),AND(AQ200-AQ199&gt;0,$C200-$C199&gt;0),AND(AQ199-AQ200=0,$C199-$C200=0)),2,0)+IF(OR(AQ199=$C199,AQ200=$C200),1,0)))</f>
        <v>0</v>
      </c>
      <c r="AR201" s="55">
        <f t="shared" si="74"/>
        <v>0</v>
      </c>
      <c r="AS201" s="55">
        <f t="shared" si="74"/>
        <v>0</v>
      </c>
      <c r="AT201" s="55">
        <f t="shared" si="74"/>
        <v>0</v>
      </c>
      <c r="AU201" s="55">
        <f t="shared" si="74"/>
        <v>0</v>
      </c>
      <c r="AV201" s="55">
        <f t="shared" si="74"/>
        <v>0</v>
      </c>
      <c r="AW201" s="55">
        <f t="shared" si="74"/>
        <v>0</v>
      </c>
      <c r="AX201" s="55">
        <f t="shared" si="74"/>
        <v>0</v>
      </c>
      <c r="AY201" s="55">
        <f t="shared" si="74"/>
        <v>0</v>
      </c>
      <c r="AZ201" s="55">
        <f t="shared" si="74"/>
        <v>0</v>
      </c>
      <c r="BA201" s="55">
        <f t="shared" si="74"/>
        <v>0</v>
      </c>
      <c r="BB201" s="55">
        <f t="shared" si="74"/>
        <v>0</v>
      </c>
      <c r="BC201" s="55">
        <f t="shared" si="74"/>
        <v>0</v>
      </c>
      <c r="BD201" s="55">
        <f t="shared" si="74"/>
        <v>0</v>
      </c>
      <c r="BE201" s="55">
        <f t="shared" si="74"/>
        <v>0</v>
      </c>
      <c r="BF201" s="55">
        <f t="shared" si="74"/>
        <v>0</v>
      </c>
      <c r="BG201" s="55">
        <f t="shared" si="74"/>
        <v>0</v>
      </c>
      <c r="BH201" s="55">
        <f t="shared" si="74"/>
        <v>0</v>
      </c>
      <c r="BI201" s="55">
        <f t="shared" si="74"/>
        <v>0</v>
      </c>
      <c r="BJ201" s="55">
        <f t="shared" si="74"/>
        <v>0</v>
      </c>
    </row>
    <row r="202" spans="1:62" ht="15.75" customHeight="1" x14ac:dyDescent="0.25">
      <c r="A202" s="65"/>
      <c r="B202" s="19">
        <v>0.70833333333333337</v>
      </c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</row>
    <row r="203" spans="1:62" ht="15.75" customHeight="1" x14ac:dyDescent="0.25">
      <c r="A203" s="13"/>
      <c r="B203" s="13"/>
      <c r="C203" s="20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</row>
    <row r="204" spans="1:62" ht="20.25" customHeight="1" x14ac:dyDescent="0.25">
      <c r="A204" s="61"/>
      <c r="B204" s="14" t="s">
        <v>97</v>
      </c>
      <c r="C204" s="15"/>
      <c r="D204" s="16">
        <v>1</v>
      </c>
      <c r="E204" s="16">
        <v>0</v>
      </c>
      <c r="F204" s="16">
        <v>1</v>
      </c>
      <c r="G204" s="17">
        <v>0</v>
      </c>
      <c r="H204" s="16">
        <v>1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1</v>
      </c>
      <c r="P204" s="16">
        <v>1</v>
      </c>
      <c r="Q204" s="16">
        <v>1</v>
      </c>
      <c r="R204" s="17">
        <v>0</v>
      </c>
      <c r="S204" s="16">
        <v>1</v>
      </c>
      <c r="T204" s="16">
        <v>1</v>
      </c>
      <c r="U204" s="16">
        <v>1</v>
      </c>
      <c r="V204" s="16">
        <v>1</v>
      </c>
      <c r="W204" s="16">
        <v>2</v>
      </c>
      <c r="X204" s="16">
        <v>0</v>
      </c>
      <c r="Y204" s="16">
        <v>0</v>
      </c>
      <c r="Z204" s="16">
        <v>1</v>
      </c>
      <c r="AA204" s="17">
        <v>0</v>
      </c>
      <c r="AB204" s="16">
        <v>0</v>
      </c>
      <c r="AC204" s="16">
        <v>0</v>
      </c>
      <c r="AD204" s="17">
        <v>0</v>
      </c>
      <c r="AE204" s="17">
        <v>0</v>
      </c>
      <c r="AF204" s="17">
        <v>0</v>
      </c>
      <c r="AG204" s="16">
        <v>0</v>
      </c>
      <c r="AH204" s="16">
        <v>1</v>
      </c>
      <c r="AI204" s="17">
        <v>0</v>
      </c>
      <c r="AJ204" s="16">
        <v>0</v>
      </c>
      <c r="AK204" s="16">
        <v>1</v>
      </c>
      <c r="AL204" s="16">
        <v>1</v>
      </c>
      <c r="AM204" s="16">
        <v>1</v>
      </c>
      <c r="AN204" s="16">
        <v>0</v>
      </c>
      <c r="AO204" s="16">
        <v>0</v>
      </c>
      <c r="AP204" s="17">
        <v>1</v>
      </c>
      <c r="AQ204" s="16">
        <v>0</v>
      </c>
      <c r="AR204" s="17">
        <v>0</v>
      </c>
      <c r="AS204" s="17">
        <v>0</v>
      </c>
      <c r="AT204" s="16">
        <v>1</v>
      </c>
      <c r="AU204" s="17">
        <v>0</v>
      </c>
      <c r="AV204" s="16">
        <v>0</v>
      </c>
      <c r="AW204" s="16">
        <v>1</v>
      </c>
      <c r="AX204" s="16">
        <v>0</v>
      </c>
      <c r="AY204" s="16">
        <v>1</v>
      </c>
      <c r="AZ204" s="16">
        <v>0</v>
      </c>
      <c r="BA204" s="16">
        <v>0</v>
      </c>
      <c r="BB204" s="16">
        <v>1</v>
      </c>
      <c r="BC204" s="17">
        <v>0</v>
      </c>
      <c r="BD204" s="16">
        <v>0</v>
      </c>
      <c r="BE204" s="17">
        <v>1</v>
      </c>
      <c r="BF204" s="17">
        <v>0</v>
      </c>
      <c r="BG204" s="16">
        <v>1</v>
      </c>
      <c r="BH204" s="17">
        <v>0</v>
      </c>
      <c r="BI204" s="16">
        <v>2</v>
      </c>
      <c r="BJ204" s="16">
        <v>0</v>
      </c>
    </row>
    <row r="205" spans="1:62" ht="18.75" customHeight="1" x14ac:dyDescent="0.25">
      <c r="A205" s="62"/>
      <c r="B205" s="14" t="s">
        <v>94</v>
      </c>
      <c r="C205" s="15"/>
      <c r="D205" s="16">
        <v>2</v>
      </c>
      <c r="E205" s="16">
        <v>3</v>
      </c>
      <c r="F205" s="16">
        <v>2</v>
      </c>
      <c r="G205" s="17">
        <v>2</v>
      </c>
      <c r="H205" s="16">
        <v>2</v>
      </c>
      <c r="I205" s="16">
        <v>3</v>
      </c>
      <c r="J205" s="16">
        <v>1</v>
      </c>
      <c r="K205" s="16">
        <v>3</v>
      </c>
      <c r="L205" s="16">
        <v>2</v>
      </c>
      <c r="M205" s="16">
        <v>2</v>
      </c>
      <c r="N205" s="16">
        <v>2</v>
      </c>
      <c r="O205" s="16">
        <v>2</v>
      </c>
      <c r="P205" s="16">
        <v>2</v>
      </c>
      <c r="Q205" s="16">
        <v>3</v>
      </c>
      <c r="R205" s="17">
        <v>1</v>
      </c>
      <c r="S205" s="16">
        <v>1</v>
      </c>
      <c r="T205" s="16">
        <v>1</v>
      </c>
      <c r="U205" s="16">
        <v>1</v>
      </c>
      <c r="V205" s="16">
        <v>1</v>
      </c>
      <c r="W205" s="16">
        <v>2</v>
      </c>
      <c r="X205" s="16">
        <v>1</v>
      </c>
      <c r="Y205" s="16">
        <v>2</v>
      </c>
      <c r="Z205" s="16">
        <v>2</v>
      </c>
      <c r="AA205" s="17">
        <v>2</v>
      </c>
      <c r="AB205" s="16">
        <v>2</v>
      </c>
      <c r="AC205" s="16">
        <v>2</v>
      </c>
      <c r="AD205" s="17">
        <v>1</v>
      </c>
      <c r="AE205" s="17">
        <v>2</v>
      </c>
      <c r="AF205" s="17">
        <v>1</v>
      </c>
      <c r="AG205" s="16">
        <v>1</v>
      </c>
      <c r="AH205" s="16">
        <v>2</v>
      </c>
      <c r="AI205" s="17">
        <v>3</v>
      </c>
      <c r="AJ205" s="16">
        <v>3</v>
      </c>
      <c r="AK205" s="16">
        <v>2</v>
      </c>
      <c r="AL205" s="16">
        <v>2</v>
      </c>
      <c r="AM205" s="16">
        <v>3</v>
      </c>
      <c r="AN205" s="16">
        <v>2</v>
      </c>
      <c r="AO205" s="16">
        <v>3</v>
      </c>
      <c r="AP205" s="17">
        <v>1</v>
      </c>
      <c r="AQ205" s="16">
        <v>2</v>
      </c>
      <c r="AR205" s="17">
        <v>3</v>
      </c>
      <c r="AS205" s="17">
        <v>2</v>
      </c>
      <c r="AT205" s="16">
        <v>2</v>
      </c>
      <c r="AU205" s="17">
        <v>1</v>
      </c>
      <c r="AV205" s="16">
        <v>2</v>
      </c>
      <c r="AW205" s="16">
        <v>2</v>
      </c>
      <c r="AX205" s="16">
        <v>1</v>
      </c>
      <c r="AY205" s="16">
        <v>2</v>
      </c>
      <c r="AZ205" s="16">
        <v>2</v>
      </c>
      <c r="BA205" s="16">
        <v>1</v>
      </c>
      <c r="BB205" s="16">
        <v>1</v>
      </c>
      <c r="BC205" s="17">
        <v>2</v>
      </c>
      <c r="BD205" s="16">
        <v>2</v>
      </c>
      <c r="BE205" s="17">
        <v>1</v>
      </c>
      <c r="BF205" s="17">
        <v>2</v>
      </c>
      <c r="BG205" s="16">
        <v>2</v>
      </c>
      <c r="BH205" s="17">
        <v>2</v>
      </c>
      <c r="BI205" s="16">
        <v>2</v>
      </c>
      <c r="BJ205" s="16">
        <v>2</v>
      </c>
    </row>
    <row r="206" spans="1:62" ht="15.75" customHeight="1" x14ac:dyDescent="0.25">
      <c r="A206" s="62"/>
      <c r="B206" s="18">
        <v>46192</v>
      </c>
      <c r="C206" s="60" t="s">
        <v>65</v>
      </c>
      <c r="D206" s="55">
        <f t="shared" ref="D206:BJ206" si="76">IF($C204="",0,IF(AND(D204=$C204,D205=$C205),5,IF(OR(AND(D204-D205&gt;0,$C204-$C205&gt;0),AND(D205-D204&gt;0,$C205-$C204&gt;0),AND(D204-D205=0,$C204-$C205=0)),2,0)+IF(OR(D204=$C204,D205=$C205),1,0)))</f>
        <v>0</v>
      </c>
      <c r="E206" s="55">
        <f t="shared" si="76"/>
        <v>0</v>
      </c>
      <c r="F206" s="55">
        <f t="shared" si="76"/>
        <v>0</v>
      </c>
      <c r="G206" s="55">
        <f t="shared" si="76"/>
        <v>0</v>
      </c>
      <c r="H206" s="55">
        <f t="shared" si="76"/>
        <v>0</v>
      </c>
      <c r="I206" s="55">
        <f t="shared" si="76"/>
        <v>0</v>
      </c>
      <c r="J206" s="55">
        <f t="shared" si="76"/>
        <v>0</v>
      </c>
      <c r="K206" s="55">
        <f t="shared" si="76"/>
        <v>0</v>
      </c>
      <c r="L206" s="55">
        <f t="shared" si="76"/>
        <v>0</v>
      </c>
      <c r="M206" s="55">
        <f t="shared" si="76"/>
        <v>0</v>
      </c>
      <c r="N206" s="55">
        <f t="shared" si="76"/>
        <v>0</v>
      </c>
      <c r="O206" s="55">
        <f t="shared" si="76"/>
        <v>0</v>
      </c>
      <c r="P206" s="55">
        <f t="shared" si="76"/>
        <v>0</v>
      </c>
      <c r="Q206" s="55">
        <f t="shared" si="76"/>
        <v>0</v>
      </c>
      <c r="R206" s="55">
        <f t="shared" si="76"/>
        <v>0</v>
      </c>
      <c r="S206" s="55">
        <f t="shared" si="76"/>
        <v>0</v>
      </c>
      <c r="T206" s="55">
        <f t="shared" si="76"/>
        <v>0</v>
      </c>
      <c r="U206" s="55">
        <f t="shared" si="76"/>
        <v>0</v>
      </c>
      <c r="V206" s="55">
        <f t="shared" si="76"/>
        <v>0</v>
      </c>
      <c r="W206" s="55">
        <f t="shared" si="76"/>
        <v>0</v>
      </c>
      <c r="X206" s="55">
        <f t="shared" si="76"/>
        <v>0</v>
      </c>
      <c r="Y206" s="55">
        <f t="shared" si="76"/>
        <v>0</v>
      </c>
      <c r="Z206" s="55">
        <f t="shared" si="76"/>
        <v>0</v>
      </c>
      <c r="AA206" s="55">
        <f t="shared" si="76"/>
        <v>0</v>
      </c>
      <c r="AB206" s="55">
        <f t="shared" si="76"/>
        <v>0</v>
      </c>
      <c r="AC206" s="55">
        <f t="shared" si="76"/>
        <v>0</v>
      </c>
      <c r="AD206" s="55">
        <f t="shared" si="76"/>
        <v>0</v>
      </c>
      <c r="AE206" s="55">
        <f t="shared" si="76"/>
        <v>0</v>
      </c>
      <c r="AF206" s="55">
        <f t="shared" si="76"/>
        <v>0</v>
      </c>
      <c r="AG206" s="55">
        <f t="shared" si="76"/>
        <v>0</v>
      </c>
      <c r="AH206" s="55">
        <f t="shared" si="76"/>
        <v>0</v>
      </c>
      <c r="AI206" s="55">
        <f t="shared" si="76"/>
        <v>0</v>
      </c>
      <c r="AJ206" s="55">
        <f t="shared" si="76"/>
        <v>0</v>
      </c>
      <c r="AK206" s="55">
        <f t="shared" si="76"/>
        <v>0</v>
      </c>
      <c r="AL206" s="55">
        <f t="shared" si="76"/>
        <v>0</v>
      </c>
      <c r="AM206" s="55">
        <f t="shared" si="76"/>
        <v>0</v>
      </c>
      <c r="AN206" s="55">
        <f t="shared" si="76"/>
        <v>0</v>
      </c>
      <c r="AO206" s="55">
        <f t="shared" si="76"/>
        <v>0</v>
      </c>
      <c r="AP206" s="55">
        <f t="shared" si="76"/>
        <v>0</v>
      </c>
      <c r="AQ206" s="55">
        <f t="shared" ref="AQ206" si="77">IF($C204="",0,IF(AND(AQ204=$C204,AQ205=$C205),5,IF(OR(AND(AQ204-AQ205&gt;0,$C204-$C205&gt;0),AND(AQ205-AQ204&gt;0,$C205-$C204&gt;0),AND(AQ204-AQ205=0,$C204-$C205=0)),2,0)+IF(OR(AQ204=$C204,AQ205=$C205),1,0)))</f>
        <v>0</v>
      </c>
      <c r="AR206" s="55">
        <f t="shared" si="76"/>
        <v>0</v>
      </c>
      <c r="AS206" s="55">
        <f t="shared" si="76"/>
        <v>0</v>
      </c>
      <c r="AT206" s="55">
        <f t="shared" si="76"/>
        <v>0</v>
      </c>
      <c r="AU206" s="55">
        <f t="shared" si="76"/>
        <v>0</v>
      </c>
      <c r="AV206" s="55">
        <f t="shared" si="76"/>
        <v>0</v>
      </c>
      <c r="AW206" s="55">
        <f t="shared" si="76"/>
        <v>0</v>
      </c>
      <c r="AX206" s="55">
        <f t="shared" si="76"/>
        <v>0</v>
      </c>
      <c r="AY206" s="55">
        <f t="shared" si="76"/>
        <v>0</v>
      </c>
      <c r="AZ206" s="55">
        <f t="shared" si="76"/>
        <v>0</v>
      </c>
      <c r="BA206" s="55">
        <f t="shared" si="76"/>
        <v>0</v>
      </c>
      <c r="BB206" s="55">
        <f t="shared" si="76"/>
        <v>0</v>
      </c>
      <c r="BC206" s="55">
        <f t="shared" si="76"/>
        <v>0</v>
      </c>
      <c r="BD206" s="55">
        <f t="shared" si="76"/>
        <v>0</v>
      </c>
      <c r="BE206" s="55">
        <f t="shared" si="76"/>
        <v>0</v>
      </c>
      <c r="BF206" s="55">
        <f t="shared" si="76"/>
        <v>0</v>
      </c>
      <c r="BG206" s="55">
        <f t="shared" si="76"/>
        <v>0</v>
      </c>
      <c r="BH206" s="55">
        <f t="shared" si="76"/>
        <v>0</v>
      </c>
      <c r="BI206" s="55">
        <f t="shared" si="76"/>
        <v>0</v>
      </c>
      <c r="BJ206" s="55">
        <f t="shared" si="76"/>
        <v>0</v>
      </c>
    </row>
    <row r="207" spans="1:62" ht="15.75" customHeight="1" x14ac:dyDescent="0.25">
      <c r="A207" s="62"/>
      <c r="B207" s="19">
        <v>0.8125</v>
      </c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</row>
    <row r="208" spans="1:62" ht="15.75" customHeight="1" x14ac:dyDescent="0.25">
      <c r="A208" s="23"/>
    </row>
    <row r="209" spans="1:62" ht="20.25" customHeight="1" x14ac:dyDescent="0.25">
      <c r="A209" s="61"/>
      <c r="B209" s="14" t="s">
        <v>94</v>
      </c>
      <c r="C209" s="15"/>
      <c r="D209" s="16">
        <v>1</v>
      </c>
      <c r="E209" s="16">
        <v>2</v>
      </c>
      <c r="F209" s="16">
        <v>0</v>
      </c>
      <c r="G209" s="17">
        <v>2</v>
      </c>
      <c r="H209" s="16">
        <v>2</v>
      </c>
      <c r="I209" s="16">
        <v>2</v>
      </c>
      <c r="J209" s="16">
        <v>1</v>
      </c>
      <c r="K209" s="16">
        <v>1</v>
      </c>
      <c r="L209" s="16">
        <v>2</v>
      </c>
      <c r="M209" s="16">
        <v>0</v>
      </c>
      <c r="N209" s="16">
        <v>2</v>
      </c>
      <c r="O209" s="16">
        <v>1</v>
      </c>
      <c r="P209" s="16">
        <v>2</v>
      </c>
      <c r="Q209" s="16">
        <v>2</v>
      </c>
      <c r="R209" s="17">
        <v>1</v>
      </c>
      <c r="S209" s="16">
        <v>2</v>
      </c>
      <c r="T209" s="16">
        <v>1</v>
      </c>
      <c r="U209" s="16">
        <v>1</v>
      </c>
      <c r="V209" s="16">
        <v>1</v>
      </c>
      <c r="W209" s="16">
        <v>2</v>
      </c>
      <c r="X209" s="16">
        <v>1</v>
      </c>
      <c r="Y209" s="16">
        <v>2</v>
      </c>
      <c r="Z209" s="16">
        <v>1</v>
      </c>
      <c r="AA209" s="17">
        <v>1</v>
      </c>
      <c r="AB209" s="16">
        <v>1</v>
      </c>
      <c r="AC209" s="16">
        <v>1</v>
      </c>
      <c r="AD209" s="17">
        <v>1</v>
      </c>
      <c r="AE209" s="17">
        <v>1</v>
      </c>
      <c r="AF209" s="17">
        <v>1</v>
      </c>
      <c r="AG209" s="16">
        <v>1</v>
      </c>
      <c r="AH209" s="16">
        <v>1</v>
      </c>
      <c r="AI209" s="17">
        <v>0</v>
      </c>
      <c r="AJ209" s="16">
        <v>2</v>
      </c>
      <c r="AK209" s="16">
        <v>0</v>
      </c>
      <c r="AL209" s="16">
        <v>3</v>
      </c>
      <c r="AM209" s="16">
        <v>2</v>
      </c>
      <c r="AN209" s="16">
        <v>1</v>
      </c>
      <c r="AO209" s="16">
        <v>1</v>
      </c>
      <c r="AP209" s="17">
        <v>1</v>
      </c>
      <c r="AQ209" s="16">
        <v>1</v>
      </c>
      <c r="AR209" s="17">
        <v>3</v>
      </c>
      <c r="AS209" s="17">
        <v>1</v>
      </c>
      <c r="AT209" s="16">
        <v>2</v>
      </c>
      <c r="AU209" s="17">
        <v>1</v>
      </c>
      <c r="AV209" s="16">
        <v>2</v>
      </c>
      <c r="AW209" s="16">
        <v>1</v>
      </c>
      <c r="AX209" s="16">
        <v>2</v>
      </c>
      <c r="AY209" s="16">
        <v>2</v>
      </c>
      <c r="AZ209" s="16">
        <v>1</v>
      </c>
      <c r="BA209" s="16">
        <v>2</v>
      </c>
      <c r="BB209" s="16">
        <v>1</v>
      </c>
      <c r="BC209" s="17">
        <v>1</v>
      </c>
      <c r="BD209" s="16">
        <v>1</v>
      </c>
      <c r="BE209" s="17">
        <v>1</v>
      </c>
      <c r="BF209" s="17">
        <v>1</v>
      </c>
      <c r="BG209" s="16">
        <v>2</v>
      </c>
      <c r="BH209" s="17">
        <v>1</v>
      </c>
      <c r="BI209" s="16">
        <v>3</v>
      </c>
      <c r="BJ209" s="16">
        <v>2</v>
      </c>
    </row>
    <row r="210" spans="1:62" ht="21" customHeight="1" x14ac:dyDescent="0.25">
      <c r="A210" s="62"/>
      <c r="B210" s="14" t="s">
        <v>95</v>
      </c>
      <c r="C210" s="15"/>
      <c r="D210" s="16">
        <v>1</v>
      </c>
      <c r="E210" s="16">
        <v>1</v>
      </c>
      <c r="F210" s="16">
        <v>0</v>
      </c>
      <c r="G210" s="17">
        <v>1</v>
      </c>
      <c r="H210" s="16">
        <v>1</v>
      </c>
      <c r="I210" s="16">
        <v>2</v>
      </c>
      <c r="J210" s="16">
        <v>1</v>
      </c>
      <c r="K210" s="16">
        <v>0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  <c r="R210" s="17">
        <v>1</v>
      </c>
      <c r="S210" s="16">
        <v>1</v>
      </c>
      <c r="T210" s="16">
        <v>1</v>
      </c>
      <c r="U210" s="16">
        <v>2</v>
      </c>
      <c r="V210" s="16">
        <v>1</v>
      </c>
      <c r="W210" s="16">
        <v>0</v>
      </c>
      <c r="X210" s="16">
        <v>1</v>
      </c>
      <c r="Y210" s="16">
        <v>1</v>
      </c>
      <c r="Z210" s="16">
        <v>1</v>
      </c>
      <c r="AA210" s="17">
        <v>1</v>
      </c>
      <c r="AB210" s="16">
        <v>1</v>
      </c>
      <c r="AC210" s="16">
        <v>1</v>
      </c>
      <c r="AD210" s="17">
        <v>2</v>
      </c>
      <c r="AE210" s="17">
        <v>1</v>
      </c>
      <c r="AF210" s="17">
        <v>1</v>
      </c>
      <c r="AG210" s="16">
        <v>1</v>
      </c>
      <c r="AH210" s="16">
        <v>1</v>
      </c>
      <c r="AI210" s="17">
        <v>3</v>
      </c>
      <c r="AJ210" s="16">
        <v>0</v>
      </c>
      <c r="AK210" s="16">
        <v>1</v>
      </c>
      <c r="AL210" s="16">
        <v>2</v>
      </c>
      <c r="AM210" s="16">
        <v>2</v>
      </c>
      <c r="AN210" s="16">
        <v>1</v>
      </c>
      <c r="AO210" s="16">
        <v>0</v>
      </c>
      <c r="AP210" s="17">
        <v>1</v>
      </c>
      <c r="AQ210" s="16">
        <v>2</v>
      </c>
      <c r="AR210" s="17">
        <v>2</v>
      </c>
      <c r="AS210" s="17">
        <v>2</v>
      </c>
      <c r="AT210" s="16">
        <v>1</v>
      </c>
      <c r="AU210" s="17">
        <v>1</v>
      </c>
      <c r="AV210" s="16">
        <v>1</v>
      </c>
      <c r="AW210" s="16">
        <v>1</v>
      </c>
      <c r="AX210" s="16">
        <v>1</v>
      </c>
      <c r="AY210" s="16">
        <v>1</v>
      </c>
      <c r="AZ210" s="16">
        <v>0</v>
      </c>
      <c r="BA210" s="16">
        <v>3</v>
      </c>
      <c r="BB210" s="16">
        <v>2</v>
      </c>
      <c r="BC210" s="17">
        <v>1</v>
      </c>
      <c r="BD210" s="16">
        <v>1</v>
      </c>
      <c r="BE210" s="17">
        <v>2</v>
      </c>
      <c r="BF210" s="17">
        <v>1</v>
      </c>
      <c r="BG210" s="16">
        <v>2</v>
      </c>
      <c r="BH210" s="17">
        <v>0</v>
      </c>
      <c r="BI210" s="16">
        <v>2</v>
      </c>
      <c r="BJ210" s="16">
        <v>1</v>
      </c>
    </row>
    <row r="211" spans="1:62" ht="15.75" customHeight="1" x14ac:dyDescent="0.25">
      <c r="A211" s="62"/>
      <c r="B211" s="18">
        <v>46197</v>
      </c>
      <c r="C211" s="60" t="s">
        <v>65</v>
      </c>
      <c r="D211" s="55">
        <f t="shared" ref="D211:BJ211" si="78">IF($C209="",0,IF(AND(D209=$C209,D210=$C210),5,IF(OR(AND(D209-D210&gt;0,$C209-$C210&gt;0),AND(D210-D209&gt;0,$C210-$C209&gt;0),AND(D209-D210=0,$C209-$C210=0)),2,0)+IF(OR(D209=$C209,D210=$C210),1,0)))</f>
        <v>0</v>
      </c>
      <c r="E211" s="55">
        <f t="shared" si="78"/>
        <v>0</v>
      </c>
      <c r="F211" s="55">
        <f t="shared" si="78"/>
        <v>0</v>
      </c>
      <c r="G211" s="55">
        <f t="shared" si="78"/>
        <v>0</v>
      </c>
      <c r="H211" s="55">
        <f t="shared" si="78"/>
        <v>0</v>
      </c>
      <c r="I211" s="55">
        <f t="shared" si="78"/>
        <v>0</v>
      </c>
      <c r="J211" s="55">
        <f t="shared" si="78"/>
        <v>0</v>
      </c>
      <c r="K211" s="55">
        <f t="shared" si="78"/>
        <v>0</v>
      </c>
      <c r="L211" s="55">
        <f t="shared" si="78"/>
        <v>0</v>
      </c>
      <c r="M211" s="55">
        <f t="shared" si="78"/>
        <v>0</v>
      </c>
      <c r="N211" s="55">
        <f t="shared" si="78"/>
        <v>0</v>
      </c>
      <c r="O211" s="55">
        <f t="shared" si="78"/>
        <v>0</v>
      </c>
      <c r="P211" s="55">
        <f t="shared" si="78"/>
        <v>0</v>
      </c>
      <c r="Q211" s="55">
        <f t="shared" si="78"/>
        <v>0</v>
      </c>
      <c r="R211" s="55">
        <f t="shared" si="78"/>
        <v>0</v>
      </c>
      <c r="S211" s="55">
        <f t="shared" si="78"/>
        <v>0</v>
      </c>
      <c r="T211" s="55">
        <f t="shared" si="78"/>
        <v>0</v>
      </c>
      <c r="U211" s="55">
        <f t="shared" si="78"/>
        <v>0</v>
      </c>
      <c r="V211" s="55">
        <f t="shared" si="78"/>
        <v>0</v>
      </c>
      <c r="W211" s="55">
        <f t="shared" si="78"/>
        <v>0</v>
      </c>
      <c r="X211" s="55">
        <f t="shared" si="78"/>
        <v>0</v>
      </c>
      <c r="Y211" s="55">
        <f t="shared" si="78"/>
        <v>0</v>
      </c>
      <c r="Z211" s="55">
        <f t="shared" si="78"/>
        <v>0</v>
      </c>
      <c r="AA211" s="55">
        <f t="shared" si="78"/>
        <v>0</v>
      </c>
      <c r="AB211" s="55">
        <f t="shared" si="78"/>
        <v>0</v>
      </c>
      <c r="AC211" s="55">
        <f t="shared" si="78"/>
        <v>0</v>
      </c>
      <c r="AD211" s="55">
        <f t="shared" si="78"/>
        <v>0</v>
      </c>
      <c r="AE211" s="55">
        <f t="shared" si="78"/>
        <v>0</v>
      </c>
      <c r="AF211" s="55">
        <f t="shared" si="78"/>
        <v>0</v>
      </c>
      <c r="AG211" s="55">
        <f t="shared" si="78"/>
        <v>0</v>
      </c>
      <c r="AH211" s="55">
        <f t="shared" si="78"/>
        <v>0</v>
      </c>
      <c r="AI211" s="55">
        <f t="shared" si="78"/>
        <v>0</v>
      </c>
      <c r="AJ211" s="55">
        <f t="shared" si="78"/>
        <v>0</v>
      </c>
      <c r="AK211" s="55">
        <f t="shared" si="78"/>
        <v>0</v>
      </c>
      <c r="AL211" s="55">
        <f t="shared" si="78"/>
        <v>0</v>
      </c>
      <c r="AM211" s="55">
        <f t="shared" si="78"/>
        <v>0</v>
      </c>
      <c r="AN211" s="55">
        <f t="shared" si="78"/>
        <v>0</v>
      </c>
      <c r="AO211" s="55">
        <f t="shared" si="78"/>
        <v>0</v>
      </c>
      <c r="AP211" s="55">
        <f t="shared" si="78"/>
        <v>0</v>
      </c>
      <c r="AQ211" s="55">
        <f t="shared" ref="AQ211" si="79">IF($C209="",0,IF(AND(AQ209=$C209,AQ210=$C210),5,IF(OR(AND(AQ209-AQ210&gt;0,$C209-$C210&gt;0),AND(AQ210-AQ209&gt;0,$C210-$C209&gt;0),AND(AQ209-AQ210=0,$C209-$C210=0)),2,0)+IF(OR(AQ209=$C209,AQ210=$C210),1,0)))</f>
        <v>0</v>
      </c>
      <c r="AR211" s="55">
        <f t="shared" si="78"/>
        <v>0</v>
      </c>
      <c r="AS211" s="55">
        <f t="shared" si="78"/>
        <v>0</v>
      </c>
      <c r="AT211" s="55">
        <f t="shared" si="78"/>
        <v>0</v>
      </c>
      <c r="AU211" s="55">
        <f t="shared" si="78"/>
        <v>0</v>
      </c>
      <c r="AV211" s="55">
        <f t="shared" si="78"/>
        <v>0</v>
      </c>
      <c r="AW211" s="55">
        <f t="shared" si="78"/>
        <v>0</v>
      </c>
      <c r="AX211" s="55">
        <f t="shared" si="78"/>
        <v>0</v>
      </c>
      <c r="AY211" s="55">
        <f t="shared" si="78"/>
        <v>0</v>
      </c>
      <c r="AZ211" s="55">
        <f t="shared" si="78"/>
        <v>0</v>
      </c>
      <c r="BA211" s="55">
        <f t="shared" si="78"/>
        <v>0</v>
      </c>
      <c r="BB211" s="55">
        <f t="shared" si="78"/>
        <v>0</v>
      </c>
      <c r="BC211" s="55">
        <f t="shared" si="78"/>
        <v>0</v>
      </c>
      <c r="BD211" s="55">
        <f t="shared" si="78"/>
        <v>0</v>
      </c>
      <c r="BE211" s="55">
        <f t="shared" si="78"/>
        <v>0</v>
      </c>
      <c r="BF211" s="55">
        <f t="shared" si="78"/>
        <v>0</v>
      </c>
      <c r="BG211" s="55">
        <f t="shared" si="78"/>
        <v>0</v>
      </c>
      <c r="BH211" s="55">
        <f t="shared" si="78"/>
        <v>0</v>
      </c>
      <c r="BI211" s="55">
        <f t="shared" si="78"/>
        <v>0</v>
      </c>
      <c r="BJ211" s="55">
        <f t="shared" si="78"/>
        <v>0</v>
      </c>
    </row>
    <row r="212" spans="1:62" ht="15.75" customHeight="1" x14ac:dyDescent="0.25">
      <c r="A212" s="62"/>
      <c r="B212" s="19">
        <v>0.70833333333333337</v>
      </c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</row>
    <row r="213" spans="1:62" ht="15.75" customHeight="1" x14ac:dyDescent="0.25">
      <c r="A213" s="23"/>
    </row>
    <row r="214" spans="1:62" ht="20.25" customHeight="1" x14ac:dyDescent="0.25">
      <c r="A214" s="61"/>
      <c r="B214" s="14" t="s">
        <v>96</v>
      </c>
      <c r="C214" s="15"/>
      <c r="D214" s="16">
        <v>0</v>
      </c>
      <c r="E214" s="16">
        <v>1</v>
      </c>
      <c r="F214" s="16">
        <v>0</v>
      </c>
      <c r="G214" s="17">
        <v>0</v>
      </c>
      <c r="H214" s="16">
        <v>0</v>
      </c>
      <c r="I214" s="16">
        <v>1</v>
      </c>
      <c r="J214" s="16">
        <v>0</v>
      </c>
      <c r="K214" s="16">
        <v>1</v>
      </c>
      <c r="L214" s="16">
        <v>0</v>
      </c>
      <c r="M214" s="16">
        <v>0</v>
      </c>
      <c r="N214" s="16">
        <v>0</v>
      </c>
      <c r="O214" s="16">
        <v>0</v>
      </c>
      <c r="P214" s="16">
        <v>1</v>
      </c>
      <c r="Q214" s="16">
        <v>1</v>
      </c>
      <c r="R214" s="17">
        <v>0</v>
      </c>
      <c r="S214" s="16">
        <v>0</v>
      </c>
      <c r="T214" s="16">
        <v>0</v>
      </c>
      <c r="U214" s="16">
        <v>1</v>
      </c>
      <c r="V214" s="16">
        <v>0</v>
      </c>
      <c r="W214" s="16">
        <v>1</v>
      </c>
      <c r="X214" s="16">
        <v>0</v>
      </c>
      <c r="Y214" s="16">
        <v>0</v>
      </c>
      <c r="Z214" s="16">
        <v>0</v>
      </c>
      <c r="AA214" s="17">
        <v>0</v>
      </c>
      <c r="AB214" s="16">
        <v>0</v>
      </c>
      <c r="AC214" s="16">
        <v>0</v>
      </c>
      <c r="AD214" s="17">
        <v>0</v>
      </c>
      <c r="AE214" s="17">
        <v>0</v>
      </c>
      <c r="AF214" s="17">
        <v>0</v>
      </c>
      <c r="AG214" s="16">
        <v>0</v>
      </c>
      <c r="AH214" s="16">
        <v>0</v>
      </c>
      <c r="AI214" s="17">
        <v>2</v>
      </c>
      <c r="AJ214" s="16">
        <v>0</v>
      </c>
      <c r="AK214" s="16">
        <v>0</v>
      </c>
      <c r="AL214" s="16">
        <v>1</v>
      </c>
      <c r="AM214" s="16">
        <v>1</v>
      </c>
      <c r="AN214" s="16">
        <v>0</v>
      </c>
      <c r="AO214" s="16">
        <v>0</v>
      </c>
      <c r="AP214" s="17">
        <v>0</v>
      </c>
      <c r="AQ214" s="16">
        <v>0</v>
      </c>
      <c r="AR214" s="17">
        <v>0</v>
      </c>
      <c r="AS214" s="17">
        <v>0</v>
      </c>
      <c r="AT214" s="16">
        <v>0</v>
      </c>
      <c r="AU214" s="17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1</v>
      </c>
      <c r="BA214" s="16">
        <v>0</v>
      </c>
      <c r="BB214" s="16">
        <v>0</v>
      </c>
      <c r="BC214" s="17">
        <v>3</v>
      </c>
      <c r="BD214" s="16">
        <v>0</v>
      </c>
      <c r="BE214" s="17">
        <v>0</v>
      </c>
      <c r="BF214" s="17">
        <v>0</v>
      </c>
      <c r="BG214" s="16">
        <v>0</v>
      </c>
      <c r="BH214" s="17">
        <v>0</v>
      </c>
      <c r="BI214" s="16">
        <v>0</v>
      </c>
      <c r="BJ214" s="16">
        <v>0</v>
      </c>
    </row>
    <row r="215" spans="1:62" ht="22.5" customHeight="1" x14ac:dyDescent="0.25">
      <c r="A215" s="62"/>
      <c r="B215" s="14" t="s">
        <v>93</v>
      </c>
      <c r="C215" s="15"/>
      <c r="D215" s="16">
        <v>2</v>
      </c>
      <c r="E215" s="16">
        <v>3</v>
      </c>
      <c r="F215" s="16">
        <v>2</v>
      </c>
      <c r="G215" s="17">
        <v>2</v>
      </c>
      <c r="H215" s="16">
        <v>2</v>
      </c>
      <c r="I215" s="16">
        <v>3</v>
      </c>
      <c r="J215" s="16">
        <v>2</v>
      </c>
      <c r="K215" s="16">
        <v>3</v>
      </c>
      <c r="L215" s="16">
        <v>3</v>
      </c>
      <c r="M215" s="16">
        <v>2</v>
      </c>
      <c r="N215" s="16">
        <v>3</v>
      </c>
      <c r="O215" s="16">
        <v>3</v>
      </c>
      <c r="P215" s="16">
        <v>2</v>
      </c>
      <c r="Q215" s="16">
        <v>2</v>
      </c>
      <c r="R215" s="17">
        <v>2</v>
      </c>
      <c r="S215" s="16">
        <v>2</v>
      </c>
      <c r="T215" s="16">
        <v>2</v>
      </c>
      <c r="U215" s="16">
        <v>2</v>
      </c>
      <c r="V215" s="16">
        <v>2</v>
      </c>
      <c r="W215" s="16">
        <v>1</v>
      </c>
      <c r="X215" s="16">
        <v>2</v>
      </c>
      <c r="Y215" s="16">
        <v>2</v>
      </c>
      <c r="Z215" s="16">
        <v>3</v>
      </c>
      <c r="AA215" s="17">
        <v>2</v>
      </c>
      <c r="AB215" s="16">
        <v>2</v>
      </c>
      <c r="AC215" s="16">
        <v>2</v>
      </c>
      <c r="AD215" s="17">
        <v>3</v>
      </c>
      <c r="AE215" s="17">
        <v>3</v>
      </c>
      <c r="AF215" s="17">
        <v>2</v>
      </c>
      <c r="AG215" s="16">
        <v>2</v>
      </c>
      <c r="AH215" s="16">
        <v>2</v>
      </c>
      <c r="AI215" s="17">
        <v>2</v>
      </c>
      <c r="AJ215" s="16">
        <v>3</v>
      </c>
      <c r="AK215" s="16">
        <v>2</v>
      </c>
      <c r="AL215" s="16">
        <v>0</v>
      </c>
      <c r="AM215" s="16">
        <v>3</v>
      </c>
      <c r="AN215" s="16">
        <v>2</v>
      </c>
      <c r="AO215" s="16">
        <v>4</v>
      </c>
      <c r="AP215" s="17">
        <v>3</v>
      </c>
      <c r="AQ215" s="16">
        <v>2</v>
      </c>
      <c r="AR215" s="17">
        <v>3</v>
      </c>
      <c r="AS215" s="17">
        <v>3</v>
      </c>
      <c r="AT215" s="16">
        <v>2</v>
      </c>
      <c r="AU215" s="17">
        <v>2</v>
      </c>
      <c r="AV215" s="16">
        <v>3</v>
      </c>
      <c r="AW215" s="16">
        <v>3</v>
      </c>
      <c r="AX215" s="16">
        <v>3</v>
      </c>
      <c r="AY215" s="16">
        <v>2</v>
      </c>
      <c r="AZ215" s="16">
        <v>3</v>
      </c>
      <c r="BA215" s="16">
        <v>3</v>
      </c>
      <c r="BB215" s="16">
        <v>2</v>
      </c>
      <c r="BC215" s="17">
        <v>0</v>
      </c>
      <c r="BD215" s="16">
        <v>2</v>
      </c>
      <c r="BE215" s="17">
        <v>2</v>
      </c>
      <c r="BF215" s="17">
        <v>3</v>
      </c>
      <c r="BG215" s="16">
        <v>1</v>
      </c>
      <c r="BH215" s="17">
        <v>3</v>
      </c>
      <c r="BI215" s="16">
        <v>0</v>
      </c>
      <c r="BJ215" s="16">
        <v>1</v>
      </c>
    </row>
    <row r="216" spans="1:62" ht="15.75" customHeight="1" x14ac:dyDescent="0.25">
      <c r="A216" s="62"/>
      <c r="B216" s="18">
        <v>46197</v>
      </c>
      <c r="C216" s="60" t="s">
        <v>65</v>
      </c>
      <c r="D216" s="55">
        <f t="shared" ref="D216:BJ216" si="80">IF($C214="",0,IF(AND(D214=$C214,D215=$C215),5,IF(OR(AND(D214-D215&gt;0,$C214-$C215&gt;0),AND(D215-D214&gt;0,$C215-$C214&gt;0),AND(D214-D215=0,$C214-$C215=0)),2,0)+IF(OR(D214=$C214,D215=$C215),1,0)))</f>
        <v>0</v>
      </c>
      <c r="E216" s="55">
        <f t="shared" si="80"/>
        <v>0</v>
      </c>
      <c r="F216" s="55">
        <f t="shared" si="80"/>
        <v>0</v>
      </c>
      <c r="G216" s="55">
        <f t="shared" si="80"/>
        <v>0</v>
      </c>
      <c r="H216" s="55">
        <f t="shared" si="80"/>
        <v>0</v>
      </c>
      <c r="I216" s="55">
        <f t="shared" si="80"/>
        <v>0</v>
      </c>
      <c r="J216" s="55">
        <f t="shared" si="80"/>
        <v>0</v>
      </c>
      <c r="K216" s="55">
        <f t="shared" si="80"/>
        <v>0</v>
      </c>
      <c r="L216" s="55">
        <f t="shared" si="80"/>
        <v>0</v>
      </c>
      <c r="M216" s="55">
        <f t="shared" si="80"/>
        <v>0</v>
      </c>
      <c r="N216" s="55">
        <f t="shared" si="80"/>
        <v>0</v>
      </c>
      <c r="O216" s="55">
        <f t="shared" si="80"/>
        <v>0</v>
      </c>
      <c r="P216" s="55">
        <f t="shared" si="80"/>
        <v>0</v>
      </c>
      <c r="Q216" s="55">
        <f t="shared" si="80"/>
        <v>0</v>
      </c>
      <c r="R216" s="55">
        <f t="shared" si="80"/>
        <v>0</v>
      </c>
      <c r="S216" s="55">
        <f t="shared" si="80"/>
        <v>0</v>
      </c>
      <c r="T216" s="55">
        <f t="shared" si="80"/>
        <v>0</v>
      </c>
      <c r="U216" s="55">
        <f t="shared" si="80"/>
        <v>0</v>
      </c>
      <c r="V216" s="55">
        <f t="shared" si="80"/>
        <v>0</v>
      </c>
      <c r="W216" s="55">
        <f t="shared" si="80"/>
        <v>0</v>
      </c>
      <c r="X216" s="55">
        <f t="shared" si="80"/>
        <v>0</v>
      </c>
      <c r="Y216" s="55">
        <f t="shared" si="80"/>
        <v>0</v>
      </c>
      <c r="Z216" s="55">
        <f t="shared" si="80"/>
        <v>0</v>
      </c>
      <c r="AA216" s="55">
        <f t="shared" si="80"/>
        <v>0</v>
      </c>
      <c r="AB216" s="55">
        <f t="shared" si="80"/>
        <v>0</v>
      </c>
      <c r="AC216" s="55">
        <f t="shared" si="80"/>
        <v>0</v>
      </c>
      <c r="AD216" s="55">
        <f t="shared" si="80"/>
        <v>0</v>
      </c>
      <c r="AE216" s="55">
        <f t="shared" si="80"/>
        <v>0</v>
      </c>
      <c r="AF216" s="55">
        <f t="shared" si="80"/>
        <v>0</v>
      </c>
      <c r="AG216" s="55">
        <f t="shared" si="80"/>
        <v>0</v>
      </c>
      <c r="AH216" s="55">
        <f t="shared" si="80"/>
        <v>0</v>
      </c>
      <c r="AI216" s="55">
        <f t="shared" si="80"/>
        <v>0</v>
      </c>
      <c r="AJ216" s="55">
        <f t="shared" si="80"/>
        <v>0</v>
      </c>
      <c r="AK216" s="55">
        <f t="shared" si="80"/>
        <v>0</v>
      </c>
      <c r="AL216" s="55">
        <f t="shared" si="80"/>
        <v>0</v>
      </c>
      <c r="AM216" s="55">
        <f t="shared" si="80"/>
        <v>0</v>
      </c>
      <c r="AN216" s="55">
        <f t="shared" si="80"/>
        <v>0</v>
      </c>
      <c r="AO216" s="55">
        <f t="shared" si="80"/>
        <v>0</v>
      </c>
      <c r="AP216" s="55">
        <f t="shared" si="80"/>
        <v>0</v>
      </c>
      <c r="AQ216" s="55">
        <f t="shared" ref="AQ216" si="81">IF($C214="",0,IF(AND(AQ214=$C214,AQ215=$C215),5,IF(OR(AND(AQ214-AQ215&gt;0,$C214-$C215&gt;0),AND(AQ215-AQ214&gt;0,$C215-$C214&gt;0),AND(AQ214-AQ215=0,$C214-$C215=0)),2,0)+IF(OR(AQ214=$C214,AQ215=$C215),1,0)))</f>
        <v>0</v>
      </c>
      <c r="AR216" s="55">
        <f t="shared" si="80"/>
        <v>0</v>
      </c>
      <c r="AS216" s="55">
        <f t="shared" si="80"/>
        <v>0</v>
      </c>
      <c r="AT216" s="55">
        <f t="shared" si="80"/>
        <v>0</v>
      </c>
      <c r="AU216" s="55">
        <f t="shared" si="80"/>
        <v>0</v>
      </c>
      <c r="AV216" s="55">
        <f t="shared" si="80"/>
        <v>0</v>
      </c>
      <c r="AW216" s="55">
        <f t="shared" si="80"/>
        <v>0</v>
      </c>
      <c r="AX216" s="55">
        <f t="shared" si="80"/>
        <v>0</v>
      </c>
      <c r="AY216" s="55">
        <f t="shared" si="80"/>
        <v>0</v>
      </c>
      <c r="AZ216" s="55">
        <f t="shared" si="80"/>
        <v>0</v>
      </c>
      <c r="BA216" s="55">
        <f t="shared" si="80"/>
        <v>0</v>
      </c>
      <c r="BB216" s="55">
        <f t="shared" si="80"/>
        <v>0</v>
      </c>
      <c r="BC216" s="55">
        <f t="shared" si="80"/>
        <v>0</v>
      </c>
      <c r="BD216" s="55">
        <f t="shared" si="80"/>
        <v>0</v>
      </c>
      <c r="BE216" s="55">
        <f t="shared" si="80"/>
        <v>0</v>
      </c>
      <c r="BF216" s="55">
        <f t="shared" si="80"/>
        <v>0</v>
      </c>
      <c r="BG216" s="55">
        <f t="shared" si="80"/>
        <v>0</v>
      </c>
      <c r="BH216" s="55">
        <f t="shared" si="80"/>
        <v>0</v>
      </c>
      <c r="BI216" s="55">
        <f t="shared" si="80"/>
        <v>0</v>
      </c>
      <c r="BJ216" s="55">
        <f t="shared" si="80"/>
        <v>0</v>
      </c>
    </row>
    <row r="217" spans="1:62" ht="15.75" customHeight="1" x14ac:dyDescent="0.25">
      <c r="A217" s="62"/>
      <c r="B217" s="19">
        <v>0.70833333333333337</v>
      </c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</row>
    <row r="218" spans="1:62" ht="15.75" customHeight="1" x14ac:dyDescent="0.25"/>
    <row r="219" spans="1:62" ht="15.75" customHeight="1" x14ac:dyDescent="0.25"/>
    <row r="220" spans="1:62" ht="15.75" customHeight="1" x14ac:dyDescent="0.25"/>
    <row r="221" spans="1:62" ht="39.75" customHeight="1" x14ac:dyDescent="0.25">
      <c r="A221" s="57" t="s">
        <v>98</v>
      </c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9"/>
    </row>
    <row r="222" spans="1:62" ht="15.75" customHeight="1" x14ac:dyDescent="0.25">
      <c r="A222" s="2"/>
      <c r="B222" s="2"/>
      <c r="C222" s="2"/>
      <c r="D222" s="2"/>
      <c r="E222" s="2"/>
      <c r="F222" s="2"/>
      <c r="G222" s="2"/>
      <c r="H222" s="3"/>
      <c r="I222" s="3"/>
      <c r="J222" s="3"/>
    </row>
    <row r="223" spans="1:62" ht="15.75" customHeight="1" x14ac:dyDescent="0.25">
      <c r="A223" s="4"/>
      <c r="B223" s="5"/>
      <c r="C223" s="6"/>
      <c r="D223" s="7">
        <v>1</v>
      </c>
      <c r="E223" s="7">
        <v>2</v>
      </c>
      <c r="F223" s="7">
        <v>3</v>
      </c>
      <c r="G223" s="7">
        <v>4</v>
      </c>
      <c r="H223" s="7">
        <v>5</v>
      </c>
      <c r="I223" s="7">
        <v>6</v>
      </c>
      <c r="J223" s="7">
        <v>7</v>
      </c>
      <c r="K223" s="7">
        <v>8</v>
      </c>
      <c r="L223" s="7">
        <v>9</v>
      </c>
      <c r="M223" s="7">
        <v>10</v>
      </c>
      <c r="N223" s="7">
        <v>11</v>
      </c>
      <c r="O223" s="7">
        <v>13</v>
      </c>
      <c r="P223" s="7">
        <v>14</v>
      </c>
      <c r="Q223" s="7">
        <v>15</v>
      </c>
      <c r="R223" s="7">
        <v>16</v>
      </c>
      <c r="S223" s="7">
        <v>17</v>
      </c>
      <c r="T223" s="7">
        <v>18</v>
      </c>
      <c r="U223" s="7">
        <v>19</v>
      </c>
      <c r="V223" s="7">
        <v>20</v>
      </c>
      <c r="W223" s="7">
        <v>21</v>
      </c>
      <c r="X223" s="7">
        <v>22</v>
      </c>
      <c r="Y223" s="7">
        <v>24</v>
      </c>
      <c r="Z223" s="7">
        <v>25</v>
      </c>
      <c r="AA223" s="7">
        <v>26</v>
      </c>
      <c r="AB223" s="7">
        <v>27</v>
      </c>
      <c r="AC223" s="7">
        <v>29</v>
      </c>
      <c r="AD223" s="7">
        <v>30</v>
      </c>
      <c r="AE223" s="7">
        <v>32</v>
      </c>
      <c r="AF223" s="7">
        <v>33</v>
      </c>
      <c r="AG223" s="7">
        <v>34</v>
      </c>
      <c r="AH223" s="7">
        <v>35</v>
      </c>
      <c r="AI223" s="7">
        <v>36</v>
      </c>
      <c r="AJ223" s="7">
        <v>37</v>
      </c>
      <c r="AK223" s="7">
        <v>38</v>
      </c>
      <c r="AL223" s="7">
        <v>39</v>
      </c>
      <c r="AM223" s="7">
        <v>40</v>
      </c>
      <c r="AN223" s="7">
        <v>41</v>
      </c>
      <c r="AO223" s="7">
        <v>42</v>
      </c>
      <c r="AP223" s="7">
        <v>44</v>
      </c>
      <c r="AQ223" s="7">
        <v>67</v>
      </c>
      <c r="AR223" s="7">
        <v>48</v>
      </c>
      <c r="AS223" s="7">
        <v>49</v>
      </c>
      <c r="AT223" s="7">
        <v>51</v>
      </c>
      <c r="AU223" s="7">
        <v>52</v>
      </c>
      <c r="AV223" s="7">
        <v>53</v>
      </c>
      <c r="AW223" s="7">
        <v>54</v>
      </c>
      <c r="AX223" s="7">
        <v>55</v>
      </c>
      <c r="AY223" s="7">
        <v>56</v>
      </c>
      <c r="AZ223" s="7">
        <v>57</v>
      </c>
      <c r="BA223" s="7">
        <v>58</v>
      </c>
      <c r="BB223" s="7">
        <v>59</v>
      </c>
      <c r="BC223" s="7">
        <v>60</v>
      </c>
      <c r="BD223" s="7">
        <v>61</v>
      </c>
      <c r="BE223" s="7">
        <v>62</v>
      </c>
      <c r="BF223" s="7">
        <v>63</v>
      </c>
      <c r="BG223" s="7">
        <v>64</v>
      </c>
      <c r="BH223" s="7">
        <v>65</v>
      </c>
      <c r="BI223" s="7">
        <v>66</v>
      </c>
      <c r="BJ223" s="7">
        <v>67</v>
      </c>
    </row>
    <row r="224" spans="1:62" ht="179.25" customHeight="1" x14ac:dyDescent="0.25">
      <c r="A224" s="8"/>
      <c r="B224" s="9" t="s">
        <v>3</v>
      </c>
      <c r="C224" s="10" t="s">
        <v>4</v>
      </c>
      <c r="D224" s="11" t="str">
        <f t="shared" ref="D224:BJ224" si="82">D8</f>
        <v>Julian Uribe</v>
      </c>
      <c r="E224" s="11" t="str">
        <f t="shared" si="82"/>
        <v>Yulian Sanchez</v>
      </c>
      <c r="F224" s="11" t="str">
        <f t="shared" si="82"/>
        <v>Francisco Moreno</v>
      </c>
      <c r="G224" s="11" t="str">
        <f t="shared" si="82"/>
        <v>Mauricio Guerrero</v>
      </c>
      <c r="H224" s="11" t="str">
        <f t="shared" si="82"/>
        <v>Gustavo Guerrero</v>
      </c>
      <c r="I224" s="11" t="str">
        <f t="shared" si="82"/>
        <v>Gerardo Martinez</v>
      </c>
      <c r="J224" s="11" t="str">
        <f t="shared" si="82"/>
        <v>Nora Perez</v>
      </c>
      <c r="K224" s="11" t="str">
        <f t="shared" si="82"/>
        <v>Laura Rodriguez</v>
      </c>
      <c r="L224" s="11" t="str">
        <f t="shared" si="82"/>
        <v>Jhoana Moreno</v>
      </c>
      <c r="M224" s="11" t="str">
        <f t="shared" si="82"/>
        <v xml:space="preserve">Yoselin Salinas </v>
      </c>
      <c r="N224" s="11" t="str">
        <f t="shared" si="82"/>
        <v>Luis Diaz</v>
      </c>
      <c r="O224" s="11" t="str">
        <f t="shared" si="82"/>
        <v>Diela del Carmen</v>
      </c>
      <c r="P224" s="11" t="str">
        <f t="shared" si="82"/>
        <v>Paola Agredo</v>
      </c>
      <c r="Q224" s="11" t="str">
        <f t="shared" si="82"/>
        <v>Oscar Suarez</v>
      </c>
      <c r="R224" s="11" t="str">
        <f t="shared" si="82"/>
        <v>Paulo Figueroa</v>
      </c>
      <c r="S224" s="11" t="str">
        <f t="shared" si="82"/>
        <v xml:space="preserve">Jean Piere </v>
      </c>
      <c r="T224" s="11" t="str">
        <f t="shared" si="82"/>
        <v>David Diaz</v>
      </c>
      <c r="U224" s="11" t="str">
        <f t="shared" si="82"/>
        <v xml:space="preserve">Christian Giraldo </v>
      </c>
      <c r="V224" s="11" t="str">
        <f t="shared" si="82"/>
        <v>Viviana Hurtado</v>
      </c>
      <c r="W224" s="11" t="str">
        <f t="shared" si="82"/>
        <v>James Chavez Ocampo</v>
      </c>
      <c r="X224" s="11" t="str">
        <f t="shared" si="82"/>
        <v>Luis Felipe Sanchez</v>
      </c>
      <c r="Y224" s="11" t="str">
        <f t="shared" si="82"/>
        <v>Laura Ossa</v>
      </c>
      <c r="Z224" s="11" t="str">
        <f t="shared" si="82"/>
        <v>Elizabeth Montealegre</v>
      </c>
      <c r="AA224" s="11" t="str">
        <f t="shared" si="82"/>
        <v>Liliana Montealegre</v>
      </c>
      <c r="AB224" s="11" t="str">
        <f t="shared" si="82"/>
        <v>Javier Andres Gomez</v>
      </c>
      <c r="AC224" s="11" t="str">
        <f t="shared" si="82"/>
        <v>Diana Carolina Marin</v>
      </c>
      <c r="AD224" s="11" t="str">
        <f t="shared" si="82"/>
        <v>Diego Fernando Saavedra</v>
      </c>
      <c r="AE224" s="11" t="str">
        <f t="shared" si="82"/>
        <v>Oscar Mayor</v>
      </c>
      <c r="AF224" s="11" t="str">
        <f t="shared" si="82"/>
        <v>Ingrid Toro</v>
      </c>
      <c r="AG224" s="11" t="str">
        <f t="shared" si="82"/>
        <v>Ana Marcela Castro</v>
      </c>
      <c r="AH224" s="11" t="str">
        <f t="shared" si="82"/>
        <v>Ricardo Gutierrez</v>
      </c>
      <c r="AI224" s="11" t="str">
        <f t="shared" si="82"/>
        <v>Natalia Navarro</v>
      </c>
      <c r="AJ224" s="11" t="str">
        <f t="shared" si="82"/>
        <v>Diana Perez</v>
      </c>
      <c r="AK224" s="11" t="str">
        <f t="shared" si="82"/>
        <v>Sergio Diaz</v>
      </c>
      <c r="AL224" s="11" t="str">
        <f t="shared" si="82"/>
        <v>William Oviedo</v>
      </c>
      <c r="AM224" s="11" t="str">
        <f t="shared" si="82"/>
        <v>Armando Orjuela</v>
      </c>
      <c r="AN224" s="11" t="str">
        <f t="shared" si="82"/>
        <v xml:space="preserve">Helen Muñoz </v>
      </c>
      <c r="AO224" s="11" t="str">
        <f t="shared" si="82"/>
        <v>Julieth Cruz - Luiz Diaz</v>
      </c>
      <c r="AP224" s="11" t="str">
        <f t="shared" si="82"/>
        <v>Jose Luis Montoya</v>
      </c>
      <c r="AQ224" s="11" t="str">
        <f t="shared" ref="AQ224" si="83">AQ8</f>
        <v>Julian Useche</v>
      </c>
      <c r="AR224" s="11" t="str">
        <f t="shared" si="82"/>
        <v>Sebastian Posada</v>
      </c>
      <c r="AS224" s="11" t="str">
        <f t="shared" si="82"/>
        <v>Juan Cifuentes</v>
      </c>
      <c r="AT224" s="11" t="str">
        <f t="shared" si="82"/>
        <v>Rodrigo Dominguez</v>
      </c>
      <c r="AU224" s="11" t="str">
        <f t="shared" si="82"/>
        <v xml:space="preserve">Carlos Calero </v>
      </c>
      <c r="AV224" s="11" t="str">
        <f t="shared" si="82"/>
        <v>Lewhis Spirth Montaño</v>
      </c>
      <c r="AW224" s="11" t="str">
        <f t="shared" si="82"/>
        <v>Sebastian Castro Luna</v>
      </c>
      <c r="AX224" s="11" t="str">
        <f t="shared" si="82"/>
        <v>Francia Orozco</v>
      </c>
      <c r="AY224" s="11" t="str">
        <f t="shared" si="82"/>
        <v>Fredy Rojas</v>
      </c>
      <c r="AZ224" s="11" t="str">
        <f t="shared" si="82"/>
        <v>John Quiñonez</v>
      </c>
      <c r="BA224" s="11" t="str">
        <f t="shared" si="82"/>
        <v>Yuli Guzman</v>
      </c>
      <c r="BB224" s="11" t="str">
        <f t="shared" si="82"/>
        <v>Luis Alfredo Plaza</v>
      </c>
      <c r="BC224" s="11" t="str">
        <f t="shared" si="82"/>
        <v>Naty Bermudez</v>
      </c>
      <c r="BD224" s="11" t="str">
        <f t="shared" si="82"/>
        <v>Edgar Ivan Giraldo Duran</v>
      </c>
      <c r="BE224" s="11" t="str">
        <f t="shared" si="82"/>
        <v>Caterine Filigrana</v>
      </c>
      <c r="BF224" s="11" t="str">
        <f t="shared" si="82"/>
        <v>Adriana Belalcazar</v>
      </c>
      <c r="BG224" s="11" t="str">
        <f t="shared" si="82"/>
        <v>Angelisa Hurtado</v>
      </c>
      <c r="BH224" s="11" t="str">
        <f t="shared" si="82"/>
        <v>Isabela Muñoz</v>
      </c>
      <c r="BI224" s="11" t="str">
        <f t="shared" si="82"/>
        <v>Francisco Moreno Alvarez</v>
      </c>
      <c r="BJ224" s="11" t="str">
        <f t="shared" si="82"/>
        <v>Angelica Maria Panesso</v>
      </c>
    </row>
    <row r="225" spans="1:62" ht="19.5" customHeight="1" x14ac:dyDescent="0.25">
      <c r="A225" s="61">
        <v>16</v>
      </c>
      <c r="B225" s="14" t="s">
        <v>99</v>
      </c>
      <c r="C225" s="15"/>
      <c r="D225" s="16">
        <v>2</v>
      </c>
      <c r="E225" s="16">
        <v>3</v>
      </c>
      <c r="F225" s="16">
        <v>2</v>
      </c>
      <c r="G225" s="17">
        <v>2</v>
      </c>
      <c r="H225" s="16">
        <v>2</v>
      </c>
      <c r="I225" s="16">
        <v>3</v>
      </c>
      <c r="J225" s="16">
        <v>2</v>
      </c>
      <c r="K225" s="16">
        <v>3</v>
      </c>
      <c r="L225" s="16">
        <v>2</v>
      </c>
      <c r="M225" s="16">
        <v>1</v>
      </c>
      <c r="N225" s="16">
        <v>2</v>
      </c>
      <c r="O225" s="16">
        <v>2</v>
      </c>
      <c r="P225" s="16">
        <v>2</v>
      </c>
      <c r="Q225" s="16">
        <v>2</v>
      </c>
      <c r="R225" s="17">
        <v>3</v>
      </c>
      <c r="S225" s="16">
        <v>2</v>
      </c>
      <c r="T225" s="16">
        <v>2</v>
      </c>
      <c r="U225" s="16">
        <v>2</v>
      </c>
      <c r="V225" s="16">
        <v>2</v>
      </c>
      <c r="W225" s="16">
        <v>3</v>
      </c>
      <c r="X225" s="16">
        <v>2</v>
      </c>
      <c r="Y225" s="16">
        <v>2</v>
      </c>
      <c r="Z225" s="16">
        <v>3</v>
      </c>
      <c r="AA225" s="17">
        <v>1</v>
      </c>
      <c r="AB225" s="16">
        <v>2</v>
      </c>
      <c r="AC225" s="16">
        <v>2</v>
      </c>
      <c r="AD225" s="17">
        <v>4</v>
      </c>
      <c r="AE225" s="17">
        <v>2</v>
      </c>
      <c r="AF225" s="17">
        <v>3</v>
      </c>
      <c r="AG225" s="16">
        <v>2</v>
      </c>
      <c r="AH225" s="16">
        <v>2</v>
      </c>
      <c r="AI225" s="17">
        <v>2</v>
      </c>
      <c r="AJ225" s="16">
        <v>3</v>
      </c>
      <c r="AK225" s="16">
        <v>3</v>
      </c>
      <c r="AL225" s="16">
        <v>2</v>
      </c>
      <c r="AM225" s="16">
        <v>1</v>
      </c>
      <c r="AN225" s="16">
        <v>2</v>
      </c>
      <c r="AO225" s="16">
        <v>2</v>
      </c>
      <c r="AP225" s="17">
        <v>3</v>
      </c>
      <c r="AQ225" s="16">
        <v>2</v>
      </c>
      <c r="AR225" s="17">
        <v>3</v>
      </c>
      <c r="AS225" s="17">
        <v>2</v>
      </c>
      <c r="AT225" s="16">
        <v>2</v>
      </c>
      <c r="AU225" s="17">
        <v>2</v>
      </c>
      <c r="AV225" s="16">
        <v>4</v>
      </c>
      <c r="AW225" s="16">
        <v>2</v>
      </c>
      <c r="AX225" s="16">
        <v>2</v>
      </c>
      <c r="AY225" s="16">
        <v>2</v>
      </c>
      <c r="AZ225" s="16">
        <v>3</v>
      </c>
      <c r="BA225" s="16">
        <v>5</v>
      </c>
      <c r="BB225" s="16">
        <v>3</v>
      </c>
      <c r="BC225" s="17">
        <v>2</v>
      </c>
      <c r="BD225" s="16">
        <v>2</v>
      </c>
      <c r="BE225" s="17">
        <v>2</v>
      </c>
      <c r="BF225" s="17">
        <v>2</v>
      </c>
      <c r="BG225" s="16">
        <v>2</v>
      </c>
      <c r="BH225" s="17">
        <v>2</v>
      </c>
      <c r="BI225" s="16">
        <v>1</v>
      </c>
      <c r="BJ225" s="16">
        <v>2</v>
      </c>
    </row>
    <row r="226" spans="1:62" ht="21" customHeight="1" x14ac:dyDescent="0.25">
      <c r="A226" s="62"/>
      <c r="B226" s="14" t="s">
        <v>100</v>
      </c>
      <c r="C226" s="15"/>
      <c r="D226" s="16">
        <v>1</v>
      </c>
      <c r="E226" s="16">
        <v>1</v>
      </c>
      <c r="F226" s="16">
        <v>0</v>
      </c>
      <c r="G226" s="17">
        <v>1</v>
      </c>
      <c r="H226" s="16">
        <v>0</v>
      </c>
      <c r="I226" s="16">
        <v>1</v>
      </c>
      <c r="J226" s="16">
        <v>0</v>
      </c>
      <c r="K226" s="16">
        <v>1</v>
      </c>
      <c r="L226" s="16">
        <v>0</v>
      </c>
      <c r="M226" s="16">
        <v>0</v>
      </c>
      <c r="N226" s="16">
        <v>1</v>
      </c>
      <c r="O226" s="16">
        <v>0</v>
      </c>
      <c r="P226" s="16">
        <v>1</v>
      </c>
      <c r="Q226" s="16">
        <v>3</v>
      </c>
      <c r="R226" s="17">
        <v>1</v>
      </c>
      <c r="S226" s="16">
        <v>0</v>
      </c>
      <c r="T226" s="16">
        <v>1</v>
      </c>
      <c r="U226" s="16">
        <v>1</v>
      </c>
      <c r="V226" s="16">
        <v>0</v>
      </c>
      <c r="W226" s="16">
        <v>1</v>
      </c>
      <c r="X226" s="16">
        <v>0</v>
      </c>
      <c r="Y226" s="16">
        <v>1</v>
      </c>
      <c r="Z226" s="16">
        <v>0</v>
      </c>
      <c r="AA226" s="17">
        <v>1</v>
      </c>
      <c r="AB226" s="16">
        <v>1</v>
      </c>
      <c r="AC226" s="16">
        <v>1</v>
      </c>
      <c r="AD226" s="17">
        <v>1</v>
      </c>
      <c r="AE226" s="17">
        <v>1</v>
      </c>
      <c r="AF226" s="17">
        <v>0</v>
      </c>
      <c r="AG226" s="16">
        <v>1</v>
      </c>
      <c r="AH226" s="16">
        <v>0</v>
      </c>
      <c r="AI226" s="17">
        <v>0</v>
      </c>
      <c r="AJ226" s="16">
        <v>1</v>
      </c>
      <c r="AK226" s="16">
        <v>1</v>
      </c>
      <c r="AL226" s="16">
        <v>1</v>
      </c>
      <c r="AM226" s="16">
        <v>1</v>
      </c>
      <c r="AN226" s="16">
        <v>0</v>
      </c>
      <c r="AO226" s="16">
        <v>0</v>
      </c>
      <c r="AP226" s="17">
        <v>0</v>
      </c>
      <c r="AQ226" s="16">
        <v>0</v>
      </c>
      <c r="AR226" s="17">
        <v>1</v>
      </c>
      <c r="AS226" s="17">
        <v>0</v>
      </c>
      <c r="AT226" s="16">
        <v>0</v>
      </c>
      <c r="AU226" s="17">
        <v>1</v>
      </c>
      <c r="AV226" s="16">
        <v>1</v>
      </c>
      <c r="AW226" s="16">
        <v>0</v>
      </c>
      <c r="AX226" s="16">
        <v>1</v>
      </c>
      <c r="AY226" s="16">
        <v>0</v>
      </c>
      <c r="AZ226" s="16">
        <v>0</v>
      </c>
      <c r="BA226" s="16">
        <v>0</v>
      </c>
      <c r="BB226" s="16">
        <v>1</v>
      </c>
      <c r="BC226" s="17">
        <v>0</v>
      </c>
      <c r="BD226" s="16">
        <v>1</v>
      </c>
      <c r="BE226" s="17">
        <v>1</v>
      </c>
      <c r="BF226" s="17">
        <v>0</v>
      </c>
      <c r="BG226" s="16">
        <v>0</v>
      </c>
      <c r="BH226" s="17">
        <v>0</v>
      </c>
      <c r="BI226" s="16">
        <v>0</v>
      </c>
      <c r="BJ226" s="16">
        <v>1</v>
      </c>
    </row>
    <row r="227" spans="1:62" ht="15.75" customHeight="1" x14ac:dyDescent="0.25">
      <c r="A227" s="62"/>
      <c r="B227" s="18">
        <v>46186</v>
      </c>
      <c r="C227" s="60" t="s">
        <v>65</v>
      </c>
      <c r="D227" s="55">
        <f t="shared" ref="D227:BJ227" si="84">IF($C225="",0,IF(AND(D225=$C225,D226=$C226),5,IF(OR(AND(D225-D226&gt;0,$C225-$C226&gt;0),AND(D226-D225&gt;0,$C226-$C225&gt;0),AND(D225-D226=0,$C225-$C226=0)),2,0)+IF(OR(D225=$C225,D226=$C226),1,0)))</f>
        <v>0</v>
      </c>
      <c r="E227" s="55">
        <f t="shared" si="84"/>
        <v>0</v>
      </c>
      <c r="F227" s="55">
        <f t="shared" si="84"/>
        <v>0</v>
      </c>
      <c r="G227" s="55">
        <f t="shared" si="84"/>
        <v>0</v>
      </c>
      <c r="H227" s="55">
        <f t="shared" si="84"/>
        <v>0</v>
      </c>
      <c r="I227" s="55">
        <f t="shared" si="84"/>
        <v>0</v>
      </c>
      <c r="J227" s="55">
        <f t="shared" si="84"/>
        <v>0</v>
      </c>
      <c r="K227" s="55">
        <f t="shared" si="84"/>
        <v>0</v>
      </c>
      <c r="L227" s="55">
        <f t="shared" si="84"/>
        <v>0</v>
      </c>
      <c r="M227" s="55">
        <f t="shared" si="84"/>
        <v>0</v>
      </c>
      <c r="N227" s="55">
        <f t="shared" si="84"/>
        <v>0</v>
      </c>
      <c r="O227" s="55">
        <f t="shared" si="84"/>
        <v>0</v>
      </c>
      <c r="P227" s="55">
        <f t="shared" si="84"/>
        <v>0</v>
      </c>
      <c r="Q227" s="55">
        <f t="shared" si="84"/>
        <v>0</v>
      </c>
      <c r="R227" s="55">
        <f t="shared" si="84"/>
        <v>0</v>
      </c>
      <c r="S227" s="55">
        <f t="shared" si="84"/>
        <v>0</v>
      </c>
      <c r="T227" s="55">
        <f t="shared" si="84"/>
        <v>0</v>
      </c>
      <c r="U227" s="55">
        <f t="shared" si="84"/>
        <v>0</v>
      </c>
      <c r="V227" s="55">
        <f t="shared" si="84"/>
        <v>0</v>
      </c>
      <c r="W227" s="55">
        <f t="shared" si="84"/>
        <v>0</v>
      </c>
      <c r="X227" s="55">
        <f t="shared" si="84"/>
        <v>0</v>
      </c>
      <c r="Y227" s="55">
        <f t="shared" si="84"/>
        <v>0</v>
      </c>
      <c r="Z227" s="55">
        <f t="shared" si="84"/>
        <v>0</v>
      </c>
      <c r="AA227" s="55">
        <f t="shared" si="84"/>
        <v>0</v>
      </c>
      <c r="AB227" s="55">
        <f t="shared" si="84"/>
        <v>0</v>
      </c>
      <c r="AC227" s="55">
        <f t="shared" si="84"/>
        <v>0</v>
      </c>
      <c r="AD227" s="55">
        <f t="shared" si="84"/>
        <v>0</v>
      </c>
      <c r="AE227" s="55">
        <f t="shared" si="84"/>
        <v>0</v>
      </c>
      <c r="AF227" s="55">
        <f t="shared" si="84"/>
        <v>0</v>
      </c>
      <c r="AG227" s="55">
        <f t="shared" si="84"/>
        <v>0</v>
      </c>
      <c r="AH227" s="55">
        <f t="shared" si="84"/>
        <v>0</v>
      </c>
      <c r="AI227" s="55">
        <f t="shared" si="84"/>
        <v>0</v>
      </c>
      <c r="AJ227" s="55">
        <f t="shared" si="84"/>
        <v>0</v>
      </c>
      <c r="AK227" s="55">
        <f t="shared" si="84"/>
        <v>0</v>
      </c>
      <c r="AL227" s="55">
        <f t="shared" si="84"/>
        <v>0</v>
      </c>
      <c r="AM227" s="55">
        <f t="shared" si="84"/>
        <v>0</v>
      </c>
      <c r="AN227" s="55">
        <f t="shared" si="84"/>
        <v>0</v>
      </c>
      <c r="AO227" s="55">
        <f t="shared" si="84"/>
        <v>0</v>
      </c>
      <c r="AP227" s="55">
        <f t="shared" si="84"/>
        <v>0</v>
      </c>
      <c r="AQ227" s="55">
        <f t="shared" ref="AQ227" si="85">IF($C225="",0,IF(AND(AQ225=$C225,AQ226=$C226),5,IF(OR(AND(AQ225-AQ226&gt;0,$C225-$C226&gt;0),AND(AQ226-AQ225&gt;0,$C226-$C225&gt;0),AND(AQ225-AQ226=0,$C225-$C226=0)),2,0)+IF(OR(AQ225=$C225,AQ226=$C226),1,0)))</f>
        <v>0</v>
      </c>
      <c r="AR227" s="55">
        <f t="shared" si="84"/>
        <v>0</v>
      </c>
      <c r="AS227" s="55">
        <f t="shared" si="84"/>
        <v>0</v>
      </c>
      <c r="AT227" s="55">
        <f t="shared" si="84"/>
        <v>0</v>
      </c>
      <c r="AU227" s="55">
        <f t="shared" si="84"/>
        <v>0</v>
      </c>
      <c r="AV227" s="55">
        <f t="shared" si="84"/>
        <v>0</v>
      </c>
      <c r="AW227" s="55">
        <f t="shared" si="84"/>
        <v>0</v>
      </c>
      <c r="AX227" s="55">
        <f t="shared" si="84"/>
        <v>0</v>
      </c>
      <c r="AY227" s="55">
        <f t="shared" si="84"/>
        <v>0</v>
      </c>
      <c r="AZ227" s="55">
        <f t="shared" si="84"/>
        <v>0</v>
      </c>
      <c r="BA227" s="55">
        <f t="shared" si="84"/>
        <v>0</v>
      </c>
      <c r="BB227" s="55">
        <f t="shared" si="84"/>
        <v>0</v>
      </c>
      <c r="BC227" s="55">
        <f t="shared" si="84"/>
        <v>0</v>
      </c>
      <c r="BD227" s="55">
        <f t="shared" si="84"/>
        <v>0</v>
      </c>
      <c r="BE227" s="55">
        <f t="shared" si="84"/>
        <v>0</v>
      </c>
      <c r="BF227" s="55">
        <f t="shared" si="84"/>
        <v>0</v>
      </c>
      <c r="BG227" s="55">
        <f t="shared" si="84"/>
        <v>0</v>
      </c>
      <c r="BH227" s="55">
        <f t="shared" si="84"/>
        <v>0</v>
      </c>
      <c r="BI227" s="55">
        <f t="shared" si="84"/>
        <v>0</v>
      </c>
      <c r="BJ227" s="55">
        <f t="shared" si="84"/>
        <v>0</v>
      </c>
    </row>
    <row r="228" spans="1:62" ht="15.75" customHeight="1" x14ac:dyDescent="0.25">
      <c r="A228" s="62"/>
      <c r="B228" s="19">
        <v>0.58333333333333337</v>
      </c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</row>
    <row r="229" spans="1:62" ht="15.75" customHeight="1" x14ac:dyDescent="0.25">
      <c r="A229" s="13"/>
      <c r="B229" s="13"/>
      <c r="C229" s="13"/>
      <c r="D229" s="2"/>
      <c r="E229" s="2"/>
      <c r="F229" s="2"/>
      <c r="G229" s="2"/>
      <c r="H229" s="3"/>
      <c r="I229" s="3"/>
      <c r="J229" s="3"/>
    </row>
    <row r="230" spans="1:62" ht="18.75" customHeight="1" x14ac:dyDescent="0.25">
      <c r="A230" s="61">
        <v>15</v>
      </c>
      <c r="B230" s="14" t="s">
        <v>101</v>
      </c>
      <c r="C230" s="15"/>
      <c r="D230" s="16">
        <v>2</v>
      </c>
      <c r="E230" s="16">
        <v>1</v>
      </c>
      <c r="F230" s="16">
        <v>0</v>
      </c>
      <c r="G230" s="17">
        <v>1</v>
      </c>
      <c r="H230" s="16">
        <v>1</v>
      </c>
      <c r="I230" s="16">
        <v>2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2</v>
      </c>
      <c r="P230" s="16">
        <v>1</v>
      </c>
      <c r="Q230" s="16">
        <v>0</v>
      </c>
      <c r="R230" s="17">
        <v>0</v>
      </c>
      <c r="S230" s="16">
        <v>2</v>
      </c>
      <c r="T230" s="16">
        <v>1</v>
      </c>
      <c r="U230" s="16">
        <v>2</v>
      </c>
      <c r="V230" s="16">
        <v>1</v>
      </c>
      <c r="W230" s="16">
        <v>1</v>
      </c>
      <c r="X230" s="16">
        <v>1</v>
      </c>
      <c r="Y230" s="16">
        <v>1</v>
      </c>
      <c r="Z230" s="16">
        <v>1</v>
      </c>
      <c r="AA230" s="17">
        <v>2</v>
      </c>
      <c r="AB230" s="16">
        <v>2</v>
      </c>
      <c r="AC230" s="16">
        <v>2</v>
      </c>
      <c r="AD230" s="17">
        <v>1</v>
      </c>
      <c r="AE230" s="17">
        <v>0</v>
      </c>
      <c r="AF230" s="17">
        <v>1</v>
      </c>
      <c r="AG230" s="16">
        <v>2</v>
      </c>
      <c r="AH230" s="16">
        <v>2</v>
      </c>
      <c r="AI230" s="17">
        <v>0</v>
      </c>
      <c r="AJ230" s="16">
        <v>0</v>
      </c>
      <c r="AK230" s="16">
        <v>0</v>
      </c>
      <c r="AL230" s="16">
        <v>1</v>
      </c>
      <c r="AM230" s="16">
        <v>0</v>
      </c>
      <c r="AN230" s="16">
        <v>1</v>
      </c>
      <c r="AO230" s="16">
        <v>2</v>
      </c>
      <c r="AP230" s="17">
        <v>2</v>
      </c>
      <c r="AQ230" s="16">
        <v>1</v>
      </c>
      <c r="AR230" s="17">
        <v>2</v>
      </c>
      <c r="AS230" s="17">
        <v>0</v>
      </c>
      <c r="AT230" s="16">
        <v>1</v>
      </c>
      <c r="AU230" s="17">
        <v>1</v>
      </c>
      <c r="AV230" s="16">
        <v>0</v>
      </c>
      <c r="AW230" s="16">
        <v>1</v>
      </c>
      <c r="AX230" s="16">
        <v>1</v>
      </c>
      <c r="AY230" s="16">
        <v>1</v>
      </c>
      <c r="AZ230" s="16">
        <v>0</v>
      </c>
      <c r="BA230" s="16">
        <v>0</v>
      </c>
      <c r="BB230" s="16">
        <v>1</v>
      </c>
      <c r="BC230" s="17">
        <v>1</v>
      </c>
      <c r="BD230" s="16">
        <v>1</v>
      </c>
      <c r="BE230" s="17">
        <v>0</v>
      </c>
      <c r="BF230" s="17">
        <v>1</v>
      </c>
      <c r="BG230" s="16">
        <v>2</v>
      </c>
      <c r="BH230" s="17">
        <v>2</v>
      </c>
      <c r="BI230" s="16">
        <v>0</v>
      </c>
      <c r="BJ230" s="16">
        <v>0</v>
      </c>
    </row>
    <row r="231" spans="1:62" ht="21" customHeight="1" x14ac:dyDescent="0.25">
      <c r="A231" s="62"/>
      <c r="B231" s="14" t="s">
        <v>102</v>
      </c>
      <c r="C231" s="15"/>
      <c r="D231" s="16">
        <v>0</v>
      </c>
      <c r="E231" s="16">
        <v>1</v>
      </c>
      <c r="F231" s="16">
        <v>3</v>
      </c>
      <c r="G231" s="17">
        <v>0</v>
      </c>
      <c r="H231" s="16">
        <v>0</v>
      </c>
      <c r="I231" s="16">
        <v>1</v>
      </c>
      <c r="J231" s="16">
        <v>0</v>
      </c>
      <c r="K231" s="16">
        <v>1</v>
      </c>
      <c r="L231" s="16">
        <v>0</v>
      </c>
      <c r="M231" s="16">
        <v>1</v>
      </c>
      <c r="N231" s="16">
        <v>0</v>
      </c>
      <c r="O231" s="16">
        <v>1</v>
      </c>
      <c r="P231" s="16">
        <v>0</v>
      </c>
      <c r="Q231" s="16">
        <v>3</v>
      </c>
      <c r="R231" s="17">
        <v>1</v>
      </c>
      <c r="S231" s="16">
        <v>0</v>
      </c>
      <c r="T231" s="16">
        <v>1</v>
      </c>
      <c r="U231" s="16">
        <v>1</v>
      </c>
      <c r="V231" s="16">
        <v>0</v>
      </c>
      <c r="W231" s="16">
        <v>1</v>
      </c>
      <c r="X231" s="16">
        <v>1</v>
      </c>
      <c r="Y231" s="16">
        <v>0</v>
      </c>
      <c r="Z231" s="16">
        <v>1</v>
      </c>
      <c r="AA231" s="17">
        <v>0</v>
      </c>
      <c r="AB231" s="16">
        <v>0</v>
      </c>
      <c r="AC231" s="16">
        <v>0</v>
      </c>
      <c r="AD231" s="17">
        <v>4</v>
      </c>
      <c r="AE231" s="17">
        <v>0</v>
      </c>
      <c r="AF231" s="17">
        <v>1</v>
      </c>
      <c r="AG231" s="16">
        <v>0</v>
      </c>
      <c r="AH231" s="16">
        <v>0</v>
      </c>
      <c r="AI231" s="17">
        <v>2</v>
      </c>
      <c r="AJ231" s="16">
        <v>3</v>
      </c>
      <c r="AK231" s="16">
        <v>0</v>
      </c>
      <c r="AL231" s="16">
        <v>1</v>
      </c>
      <c r="AM231" s="16">
        <v>2</v>
      </c>
      <c r="AN231" s="16">
        <v>2</v>
      </c>
      <c r="AO231" s="16">
        <v>1</v>
      </c>
      <c r="AP231" s="17">
        <v>0</v>
      </c>
      <c r="AQ231" s="16">
        <v>1</v>
      </c>
      <c r="AR231" s="17">
        <v>2</v>
      </c>
      <c r="AS231" s="17">
        <v>1</v>
      </c>
      <c r="AT231" s="16">
        <v>2</v>
      </c>
      <c r="AU231" s="17">
        <v>0</v>
      </c>
      <c r="AV231" s="16">
        <v>2</v>
      </c>
      <c r="AW231" s="16">
        <v>0</v>
      </c>
      <c r="AX231" s="16">
        <v>0</v>
      </c>
      <c r="AY231" s="16">
        <v>1</v>
      </c>
      <c r="AZ231" s="16">
        <v>0</v>
      </c>
      <c r="BA231" s="16">
        <v>3</v>
      </c>
      <c r="BB231" s="16">
        <v>2</v>
      </c>
      <c r="BC231" s="17">
        <v>1</v>
      </c>
      <c r="BD231" s="16">
        <v>0</v>
      </c>
      <c r="BE231" s="17">
        <v>0</v>
      </c>
      <c r="BF231" s="17">
        <v>1</v>
      </c>
      <c r="BG231" s="16">
        <v>2</v>
      </c>
      <c r="BH231" s="17">
        <v>1</v>
      </c>
      <c r="BI231" s="16">
        <v>0</v>
      </c>
      <c r="BJ231" s="16">
        <v>1</v>
      </c>
    </row>
    <row r="232" spans="1:62" ht="15.75" customHeight="1" x14ac:dyDescent="0.25">
      <c r="A232" s="62"/>
      <c r="B232" s="18">
        <v>46186</v>
      </c>
      <c r="C232" s="60" t="s">
        <v>65</v>
      </c>
      <c r="D232" s="55">
        <f t="shared" ref="D232:BJ232" si="86">IF($C230="",0,IF(AND(D230=$C230,D231=$C231),5,IF(OR(AND(D230-D231&gt;0,$C230-$C231&gt;0),AND(D231-D230&gt;0,$C231-$C230&gt;0),AND(D230-D231=0,$C230-$C231=0)),2,0)+IF(OR(D230=$C230,D231=$C231),1,0)))</f>
        <v>0</v>
      </c>
      <c r="E232" s="55">
        <f t="shared" si="86"/>
        <v>0</v>
      </c>
      <c r="F232" s="55">
        <f t="shared" si="86"/>
        <v>0</v>
      </c>
      <c r="G232" s="55">
        <f t="shared" si="86"/>
        <v>0</v>
      </c>
      <c r="H232" s="55">
        <f t="shared" si="86"/>
        <v>0</v>
      </c>
      <c r="I232" s="55">
        <f t="shared" si="86"/>
        <v>0</v>
      </c>
      <c r="J232" s="55">
        <f t="shared" si="86"/>
        <v>0</v>
      </c>
      <c r="K232" s="55">
        <f t="shared" si="86"/>
        <v>0</v>
      </c>
      <c r="L232" s="55">
        <f t="shared" si="86"/>
        <v>0</v>
      </c>
      <c r="M232" s="55">
        <f t="shared" si="86"/>
        <v>0</v>
      </c>
      <c r="N232" s="55">
        <f t="shared" si="86"/>
        <v>0</v>
      </c>
      <c r="O232" s="55">
        <f t="shared" si="86"/>
        <v>0</v>
      </c>
      <c r="P232" s="55">
        <f t="shared" si="86"/>
        <v>0</v>
      </c>
      <c r="Q232" s="55">
        <f t="shared" si="86"/>
        <v>0</v>
      </c>
      <c r="R232" s="55">
        <f t="shared" si="86"/>
        <v>0</v>
      </c>
      <c r="S232" s="55">
        <f t="shared" si="86"/>
        <v>0</v>
      </c>
      <c r="T232" s="55">
        <f t="shared" si="86"/>
        <v>0</v>
      </c>
      <c r="U232" s="55">
        <f t="shared" si="86"/>
        <v>0</v>
      </c>
      <c r="V232" s="55">
        <f t="shared" si="86"/>
        <v>0</v>
      </c>
      <c r="W232" s="55">
        <f t="shared" si="86"/>
        <v>0</v>
      </c>
      <c r="X232" s="55">
        <f t="shared" si="86"/>
        <v>0</v>
      </c>
      <c r="Y232" s="55">
        <f t="shared" si="86"/>
        <v>0</v>
      </c>
      <c r="Z232" s="55">
        <f t="shared" si="86"/>
        <v>0</v>
      </c>
      <c r="AA232" s="55">
        <f t="shared" si="86"/>
        <v>0</v>
      </c>
      <c r="AB232" s="55">
        <f t="shared" si="86"/>
        <v>0</v>
      </c>
      <c r="AC232" s="55">
        <f t="shared" si="86"/>
        <v>0</v>
      </c>
      <c r="AD232" s="55">
        <f t="shared" si="86"/>
        <v>0</v>
      </c>
      <c r="AE232" s="55">
        <f t="shared" si="86"/>
        <v>0</v>
      </c>
      <c r="AF232" s="55">
        <f t="shared" si="86"/>
        <v>0</v>
      </c>
      <c r="AG232" s="55">
        <f t="shared" si="86"/>
        <v>0</v>
      </c>
      <c r="AH232" s="55">
        <f t="shared" si="86"/>
        <v>0</v>
      </c>
      <c r="AI232" s="55">
        <f t="shared" si="86"/>
        <v>0</v>
      </c>
      <c r="AJ232" s="55">
        <f t="shared" si="86"/>
        <v>0</v>
      </c>
      <c r="AK232" s="55">
        <f t="shared" si="86"/>
        <v>0</v>
      </c>
      <c r="AL232" s="55">
        <f t="shared" si="86"/>
        <v>0</v>
      </c>
      <c r="AM232" s="55">
        <f t="shared" si="86"/>
        <v>0</v>
      </c>
      <c r="AN232" s="55">
        <f t="shared" si="86"/>
        <v>0</v>
      </c>
      <c r="AO232" s="55">
        <f t="shared" si="86"/>
        <v>0</v>
      </c>
      <c r="AP232" s="55">
        <f t="shared" si="86"/>
        <v>0</v>
      </c>
      <c r="AQ232" s="55">
        <f t="shared" ref="AQ232" si="87">IF($C230="",0,IF(AND(AQ230=$C230,AQ231=$C231),5,IF(OR(AND(AQ230-AQ231&gt;0,$C230-$C231&gt;0),AND(AQ231-AQ230&gt;0,$C231-$C230&gt;0),AND(AQ230-AQ231=0,$C230-$C231=0)),2,0)+IF(OR(AQ230=$C230,AQ231=$C231),1,0)))</f>
        <v>0</v>
      </c>
      <c r="AR232" s="55">
        <f t="shared" si="86"/>
        <v>0</v>
      </c>
      <c r="AS232" s="55">
        <f t="shared" si="86"/>
        <v>0</v>
      </c>
      <c r="AT232" s="55">
        <f t="shared" si="86"/>
        <v>0</v>
      </c>
      <c r="AU232" s="55">
        <f t="shared" si="86"/>
        <v>0</v>
      </c>
      <c r="AV232" s="55">
        <f t="shared" si="86"/>
        <v>0</v>
      </c>
      <c r="AW232" s="55">
        <f t="shared" si="86"/>
        <v>0</v>
      </c>
      <c r="AX232" s="55">
        <f t="shared" si="86"/>
        <v>0</v>
      </c>
      <c r="AY232" s="55">
        <f t="shared" si="86"/>
        <v>0</v>
      </c>
      <c r="AZ232" s="55">
        <f t="shared" si="86"/>
        <v>0</v>
      </c>
      <c r="BA232" s="55">
        <f t="shared" si="86"/>
        <v>0</v>
      </c>
      <c r="BB232" s="55">
        <f t="shared" si="86"/>
        <v>0</v>
      </c>
      <c r="BC232" s="55">
        <f t="shared" si="86"/>
        <v>0</v>
      </c>
      <c r="BD232" s="55">
        <f t="shared" si="86"/>
        <v>0</v>
      </c>
      <c r="BE232" s="55">
        <f t="shared" si="86"/>
        <v>0</v>
      </c>
      <c r="BF232" s="55">
        <f t="shared" si="86"/>
        <v>0</v>
      </c>
      <c r="BG232" s="55">
        <f t="shared" si="86"/>
        <v>0</v>
      </c>
      <c r="BH232" s="55">
        <f t="shared" si="86"/>
        <v>0</v>
      </c>
      <c r="BI232" s="55">
        <f t="shared" si="86"/>
        <v>0</v>
      </c>
      <c r="BJ232" s="55">
        <f t="shared" si="86"/>
        <v>0</v>
      </c>
    </row>
    <row r="233" spans="1:62" ht="15.75" customHeight="1" x14ac:dyDescent="0.25">
      <c r="A233" s="62"/>
      <c r="B233" s="19">
        <v>0.83333333333333337</v>
      </c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</row>
    <row r="234" spans="1:62" ht="15.75" customHeight="1" x14ac:dyDescent="0.25">
      <c r="A234" s="13"/>
      <c r="B234" s="13"/>
      <c r="C234" s="20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>
        <v>3</v>
      </c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</row>
    <row r="235" spans="1:62" ht="22.5" customHeight="1" x14ac:dyDescent="0.25">
      <c r="A235" s="61">
        <v>39</v>
      </c>
      <c r="B235" s="14" t="s">
        <v>99</v>
      </c>
      <c r="C235" s="15"/>
      <c r="D235" s="16">
        <v>2</v>
      </c>
      <c r="E235" s="16">
        <v>4</v>
      </c>
      <c r="F235" s="16">
        <v>2</v>
      </c>
      <c r="G235" s="17">
        <v>2</v>
      </c>
      <c r="H235" s="16">
        <v>2</v>
      </c>
      <c r="I235" s="16">
        <v>0</v>
      </c>
      <c r="J235" s="16">
        <v>2</v>
      </c>
      <c r="K235" s="16">
        <v>2</v>
      </c>
      <c r="L235" s="16">
        <v>1</v>
      </c>
      <c r="M235" s="16">
        <v>2</v>
      </c>
      <c r="N235" s="16">
        <v>2</v>
      </c>
      <c r="O235" s="16">
        <v>2</v>
      </c>
      <c r="P235" s="16">
        <v>2</v>
      </c>
      <c r="Q235" s="16">
        <v>3</v>
      </c>
      <c r="R235" s="17">
        <v>2</v>
      </c>
      <c r="S235" s="16">
        <v>2</v>
      </c>
      <c r="T235" s="16">
        <v>2</v>
      </c>
      <c r="U235" s="16">
        <v>3</v>
      </c>
      <c r="V235" s="16">
        <v>2</v>
      </c>
      <c r="W235" s="16">
        <v>2</v>
      </c>
      <c r="X235" s="16">
        <v>3</v>
      </c>
      <c r="Y235" s="16">
        <v>2</v>
      </c>
      <c r="Z235" s="16">
        <v>2</v>
      </c>
      <c r="AA235" s="17">
        <v>2</v>
      </c>
      <c r="AB235" s="16">
        <v>1</v>
      </c>
      <c r="AC235" s="16">
        <v>1</v>
      </c>
      <c r="AD235" s="17">
        <v>3</v>
      </c>
      <c r="AE235" s="17">
        <v>2</v>
      </c>
      <c r="AF235" s="17">
        <v>2</v>
      </c>
      <c r="AG235" s="16">
        <v>2</v>
      </c>
      <c r="AH235" s="16">
        <v>2</v>
      </c>
      <c r="AI235" s="17">
        <v>3</v>
      </c>
      <c r="AJ235" s="16">
        <v>2</v>
      </c>
      <c r="AK235" s="16">
        <v>3</v>
      </c>
      <c r="AL235" s="16">
        <v>1</v>
      </c>
      <c r="AM235" s="16">
        <v>3</v>
      </c>
      <c r="AN235" s="16">
        <v>2</v>
      </c>
      <c r="AO235" s="16">
        <v>3</v>
      </c>
      <c r="AP235" s="17">
        <v>3</v>
      </c>
      <c r="AQ235" s="16">
        <v>2</v>
      </c>
      <c r="AR235" s="17">
        <v>4</v>
      </c>
      <c r="AS235" s="17">
        <v>3</v>
      </c>
      <c r="AT235" s="16">
        <v>2</v>
      </c>
      <c r="AU235" s="17">
        <v>2</v>
      </c>
      <c r="AV235" s="16">
        <v>2</v>
      </c>
      <c r="AW235" s="16">
        <v>2</v>
      </c>
      <c r="AX235" s="16">
        <v>2</v>
      </c>
      <c r="AY235" s="16">
        <v>3</v>
      </c>
      <c r="AZ235" s="16">
        <v>2</v>
      </c>
      <c r="BA235" s="16">
        <v>4</v>
      </c>
      <c r="BB235" s="16">
        <v>1</v>
      </c>
      <c r="BC235" s="17">
        <v>1</v>
      </c>
      <c r="BD235" s="16">
        <v>2</v>
      </c>
      <c r="BE235" s="17">
        <v>2</v>
      </c>
      <c r="BF235" s="17">
        <v>3</v>
      </c>
      <c r="BG235" s="16">
        <v>2</v>
      </c>
      <c r="BH235" s="17">
        <v>2</v>
      </c>
      <c r="BI235" s="16">
        <v>4</v>
      </c>
      <c r="BJ235" s="16">
        <v>2</v>
      </c>
    </row>
    <row r="236" spans="1:62" ht="20.25" customHeight="1" x14ac:dyDescent="0.25">
      <c r="A236" s="62"/>
      <c r="B236" s="14" t="s">
        <v>101</v>
      </c>
      <c r="C236" s="15"/>
      <c r="D236" s="16">
        <v>0</v>
      </c>
      <c r="E236" s="16">
        <v>1</v>
      </c>
      <c r="F236" s="16">
        <v>1</v>
      </c>
      <c r="G236" s="17">
        <v>0</v>
      </c>
      <c r="H236" s="16">
        <v>1</v>
      </c>
      <c r="I236" s="16">
        <v>2</v>
      </c>
      <c r="J236" s="16">
        <v>1</v>
      </c>
      <c r="K236" s="16">
        <v>1</v>
      </c>
      <c r="L236" s="16">
        <v>1</v>
      </c>
      <c r="M236" s="16">
        <v>0</v>
      </c>
      <c r="N236" s="16">
        <v>0</v>
      </c>
      <c r="O236" s="16">
        <v>1</v>
      </c>
      <c r="P236" s="16">
        <v>1</v>
      </c>
      <c r="Q236" s="16">
        <v>0</v>
      </c>
      <c r="R236" s="17">
        <v>0</v>
      </c>
      <c r="S236" s="16">
        <v>1</v>
      </c>
      <c r="T236" s="16">
        <v>1</v>
      </c>
      <c r="U236" s="16">
        <v>0</v>
      </c>
      <c r="V236" s="16">
        <v>0</v>
      </c>
      <c r="W236" s="16">
        <v>0</v>
      </c>
      <c r="X236" s="16">
        <v>1</v>
      </c>
      <c r="Y236" s="16">
        <v>0</v>
      </c>
      <c r="Z236" s="16">
        <v>1</v>
      </c>
      <c r="AA236" s="17">
        <v>1</v>
      </c>
      <c r="AB236" s="16">
        <v>1</v>
      </c>
      <c r="AC236" s="16">
        <v>0</v>
      </c>
      <c r="AD236" s="17">
        <v>0</v>
      </c>
      <c r="AE236" s="17">
        <v>0</v>
      </c>
      <c r="AF236" s="17">
        <v>0</v>
      </c>
      <c r="AG236" s="16">
        <v>0</v>
      </c>
      <c r="AH236" s="16">
        <v>1</v>
      </c>
      <c r="AI236" s="17">
        <v>1</v>
      </c>
      <c r="AJ236" s="16">
        <v>0</v>
      </c>
      <c r="AK236" s="16">
        <v>0</v>
      </c>
      <c r="AL236" s="16">
        <v>2</v>
      </c>
      <c r="AM236" s="16">
        <v>2</v>
      </c>
      <c r="AN236" s="16">
        <v>1</v>
      </c>
      <c r="AO236" s="16">
        <v>1</v>
      </c>
      <c r="AP236" s="17">
        <v>1</v>
      </c>
      <c r="AQ236" s="16">
        <v>1</v>
      </c>
      <c r="AR236" s="17">
        <v>1</v>
      </c>
      <c r="AS236" s="17">
        <v>1</v>
      </c>
      <c r="AT236" s="16">
        <v>1</v>
      </c>
      <c r="AU236" s="17">
        <v>0</v>
      </c>
      <c r="AV236" s="16">
        <v>1</v>
      </c>
      <c r="AW236" s="16">
        <v>0</v>
      </c>
      <c r="AX236" s="16">
        <v>0</v>
      </c>
      <c r="AY236" s="16">
        <v>1</v>
      </c>
      <c r="AZ236" s="16">
        <v>0</v>
      </c>
      <c r="BA236" s="16">
        <v>0</v>
      </c>
      <c r="BB236" s="16">
        <v>1</v>
      </c>
      <c r="BC236" s="17">
        <v>1</v>
      </c>
      <c r="BD236" s="16">
        <v>0</v>
      </c>
      <c r="BE236" s="17">
        <v>1</v>
      </c>
      <c r="BF236" s="17">
        <v>0</v>
      </c>
      <c r="BG236" s="16">
        <v>0</v>
      </c>
      <c r="BH236" s="17">
        <v>0</v>
      </c>
      <c r="BI236" s="16">
        <v>0</v>
      </c>
      <c r="BJ236" s="16">
        <v>1</v>
      </c>
    </row>
    <row r="237" spans="1:62" ht="15.75" customHeight="1" x14ac:dyDescent="0.25">
      <c r="A237" s="62"/>
      <c r="B237" s="18">
        <v>46192</v>
      </c>
      <c r="C237" s="60" t="s">
        <v>65</v>
      </c>
      <c r="D237" s="55">
        <f t="shared" ref="D237:BJ237" si="88">IF($C235="",0,IF(AND(D235=$C235,D236=$C236),5,IF(OR(AND(D235-D236&gt;0,$C235-$C236&gt;0),AND(D236-D235&gt;0,$C236-$C235&gt;0),AND(D235-D236=0,$C235-$C236=0)),2,0)+IF(OR(D235=$C235,D236=$C236),1,0)))</f>
        <v>0</v>
      </c>
      <c r="E237" s="55">
        <f t="shared" si="88"/>
        <v>0</v>
      </c>
      <c r="F237" s="55">
        <f t="shared" si="88"/>
        <v>0</v>
      </c>
      <c r="G237" s="55">
        <f t="shared" si="88"/>
        <v>0</v>
      </c>
      <c r="H237" s="55">
        <f t="shared" si="88"/>
        <v>0</v>
      </c>
      <c r="I237" s="55">
        <f t="shared" si="88"/>
        <v>0</v>
      </c>
      <c r="J237" s="55">
        <f t="shared" si="88"/>
        <v>0</v>
      </c>
      <c r="K237" s="55">
        <f t="shared" si="88"/>
        <v>0</v>
      </c>
      <c r="L237" s="55">
        <f t="shared" si="88"/>
        <v>0</v>
      </c>
      <c r="M237" s="55">
        <f t="shared" si="88"/>
        <v>0</v>
      </c>
      <c r="N237" s="55">
        <f t="shared" si="88"/>
        <v>0</v>
      </c>
      <c r="O237" s="55">
        <f t="shared" si="88"/>
        <v>0</v>
      </c>
      <c r="P237" s="55">
        <f t="shared" si="88"/>
        <v>0</v>
      </c>
      <c r="Q237" s="55">
        <f t="shared" si="88"/>
        <v>0</v>
      </c>
      <c r="R237" s="55">
        <f t="shared" si="88"/>
        <v>0</v>
      </c>
      <c r="S237" s="55">
        <f t="shared" si="88"/>
        <v>0</v>
      </c>
      <c r="T237" s="55">
        <f t="shared" si="88"/>
        <v>0</v>
      </c>
      <c r="U237" s="55">
        <f t="shared" si="88"/>
        <v>0</v>
      </c>
      <c r="V237" s="55">
        <f t="shared" si="88"/>
        <v>0</v>
      </c>
      <c r="W237" s="55">
        <f t="shared" si="88"/>
        <v>0</v>
      </c>
      <c r="X237" s="55">
        <f t="shared" si="88"/>
        <v>0</v>
      </c>
      <c r="Y237" s="55">
        <f t="shared" si="88"/>
        <v>0</v>
      </c>
      <c r="Z237" s="55">
        <f t="shared" si="88"/>
        <v>0</v>
      </c>
      <c r="AA237" s="55">
        <f t="shared" si="88"/>
        <v>0</v>
      </c>
      <c r="AB237" s="55">
        <f t="shared" si="88"/>
        <v>0</v>
      </c>
      <c r="AC237" s="55">
        <f t="shared" si="88"/>
        <v>0</v>
      </c>
      <c r="AD237" s="55">
        <f t="shared" si="88"/>
        <v>0</v>
      </c>
      <c r="AE237" s="55">
        <f t="shared" si="88"/>
        <v>0</v>
      </c>
      <c r="AF237" s="55">
        <f t="shared" si="88"/>
        <v>0</v>
      </c>
      <c r="AG237" s="55">
        <f t="shared" si="88"/>
        <v>0</v>
      </c>
      <c r="AH237" s="55">
        <f t="shared" si="88"/>
        <v>0</v>
      </c>
      <c r="AI237" s="55">
        <f t="shared" si="88"/>
        <v>0</v>
      </c>
      <c r="AJ237" s="55">
        <f t="shared" si="88"/>
        <v>0</v>
      </c>
      <c r="AK237" s="55">
        <f t="shared" si="88"/>
        <v>0</v>
      </c>
      <c r="AL237" s="55">
        <f t="shared" si="88"/>
        <v>0</v>
      </c>
      <c r="AM237" s="55">
        <f t="shared" si="88"/>
        <v>0</v>
      </c>
      <c r="AN237" s="55">
        <f t="shared" si="88"/>
        <v>0</v>
      </c>
      <c r="AO237" s="55">
        <f t="shared" si="88"/>
        <v>0</v>
      </c>
      <c r="AP237" s="55">
        <f t="shared" si="88"/>
        <v>0</v>
      </c>
      <c r="AQ237" s="55">
        <f t="shared" ref="AQ237" si="89">IF($C235="",0,IF(AND(AQ235=$C235,AQ236=$C236),5,IF(OR(AND(AQ235-AQ236&gt;0,$C235-$C236&gt;0),AND(AQ236-AQ235&gt;0,$C236-$C235&gt;0),AND(AQ235-AQ236=0,$C235-$C236=0)),2,0)+IF(OR(AQ235=$C235,AQ236=$C236),1,0)))</f>
        <v>0</v>
      </c>
      <c r="AR237" s="55">
        <f t="shared" si="88"/>
        <v>0</v>
      </c>
      <c r="AS237" s="55">
        <f t="shared" si="88"/>
        <v>0</v>
      </c>
      <c r="AT237" s="55">
        <f t="shared" si="88"/>
        <v>0</v>
      </c>
      <c r="AU237" s="55">
        <f t="shared" si="88"/>
        <v>0</v>
      </c>
      <c r="AV237" s="55">
        <f t="shared" si="88"/>
        <v>0</v>
      </c>
      <c r="AW237" s="55">
        <f t="shared" si="88"/>
        <v>0</v>
      </c>
      <c r="AX237" s="55">
        <f t="shared" si="88"/>
        <v>0</v>
      </c>
      <c r="AY237" s="55">
        <f t="shared" si="88"/>
        <v>0</v>
      </c>
      <c r="AZ237" s="55">
        <f t="shared" si="88"/>
        <v>0</v>
      </c>
      <c r="BA237" s="55">
        <f t="shared" si="88"/>
        <v>0</v>
      </c>
      <c r="BB237" s="55">
        <f t="shared" si="88"/>
        <v>0</v>
      </c>
      <c r="BC237" s="55">
        <f t="shared" si="88"/>
        <v>0</v>
      </c>
      <c r="BD237" s="55">
        <f t="shared" si="88"/>
        <v>0</v>
      </c>
      <c r="BE237" s="55">
        <f t="shared" si="88"/>
        <v>0</v>
      </c>
      <c r="BF237" s="55">
        <f t="shared" si="88"/>
        <v>0</v>
      </c>
      <c r="BG237" s="55">
        <f t="shared" si="88"/>
        <v>0</v>
      </c>
      <c r="BH237" s="55">
        <f t="shared" si="88"/>
        <v>0</v>
      </c>
      <c r="BI237" s="55">
        <f t="shared" si="88"/>
        <v>0</v>
      </c>
      <c r="BJ237" s="55">
        <f t="shared" si="88"/>
        <v>0</v>
      </c>
    </row>
    <row r="238" spans="1:62" ht="15.75" customHeight="1" x14ac:dyDescent="0.25">
      <c r="A238" s="62"/>
      <c r="B238" s="19">
        <v>0.58333333333333337</v>
      </c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</row>
    <row r="239" spans="1:62" ht="15.75" customHeight="1" x14ac:dyDescent="0.25">
      <c r="A239" s="13"/>
      <c r="B239" s="13"/>
      <c r="C239" s="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</row>
    <row r="240" spans="1:62" ht="21" customHeight="1" x14ac:dyDescent="0.25">
      <c r="A240" s="61">
        <v>40</v>
      </c>
      <c r="B240" s="14" t="s">
        <v>102</v>
      </c>
      <c r="C240" s="15"/>
      <c r="D240" s="16">
        <v>0</v>
      </c>
      <c r="E240" s="16">
        <v>0</v>
      </c>
      <c r="F240" s="16">
        <v>1</v>
      </c>
      <c r="G240" s="17">
        <v>0</v>
      </c>
      <c r="H240" s="16">
        <v>1</v>
      </c>
      <c r="I240" s="16">
        <v>3</v>
      </c>
      <c r="J240" s="16">
        <v>0</v>
      </c>
      <c r="K240" s="16">
        <v>2</v>
      </c>
      <c r="L240" s="16">
        <v>0</v>
      </c>
      <c r="M240" s="16">
        <v>0</v>
      </c>
      <c r="N240" s="16">
        <v>0</v>
      </c>
      <c r="O240" s="16">
        <v>1</v>
      </c>
      <c r="P240" s="16">
        <v>1</v>
      </c>
      <c r="Q240" s="16">
        <v>1</v>
      </c>
      <c r="R240" s="17">
        <v>1</v>
      </c>
      <c r="S240" s="16">
        <v>0</v>
      </c>
      <c r="T240" s="16">
        <v>0</v>
      </c>
      <c r="U240" s="16">
        <v>1</v>
      </c>
      <c r="V240" s="16">
        <v>0</v>
      </c>
      <c r="W240" s="16">
        <v>0</v>
      </c>
      <c r="X240" s="16">
        <v>1</v>
      </c>
      <c r="Y240" s="16">
        <v>0</v>
      </c>
      <c r="Z240" s="16">
        <v>2</v>
      </c>
      <c r="AA240" s="17">
        <v>0</v>
      </c>
      <c r="AB240" s="16">
        <v>0</v>
      </c>
      <c r="AC240" s="16">
        <v>0</v>
      </c>
      <c r="AD240" s="17">
        <v>3</v>
      </c>
      <c r="AE240" s="17">
        <v>1</v>
      </c>
      <c r="AF240" s="17">
        <v>2</v>
      </c>
      <c r="AG240" s="16">
        <v>1</v>
      </c>
      <c r="AH240" s="16">
        <v>0</v>
      </c>
      <c r="AI240" s="17">
        <v>0</v>
      </c>
      <c r="AJ240" s="16">
        <v>2</v>
      </c>
      <c r="AK240" s="16">
        <v>1</v>
      </c>
      <c r="AL240" s="16">
        <v>0</v>
      </c>
      <c r="AM240" s="16">
        <v>2</v>
      </c>
      <c r="AN240" s="16">
        <v>0</v>
      </c>
      <c r="AO240" s="16">
        <v>0</v>
      </c>
      <c r="AP240" s="17">
        <v>1</v>
      </c>
      <c r="AQ240" s="16">
        <v>0</v>
      </c>
      <c r="AR240" s="17">
        <v>1</v>
      </c>
      <c r="AS240" s="17">
        <v>0</v>
      </c>
      <c r="AT240" s="16">
        <v>2</v>
      </c>
      <c r="AU240" s="17">
        <v>0</v>
      </c>
      <c r="AV240" s="16">
        <v>1</v>
      </c>
      <c r="AW240" s="16">
        <v>0</v>
      </c>
      <c r="AX240" s="16">
        <v>1</v>
      </c>
      <c r="AY240" s="16">
        <v>0</v>
      </c>
      <c r="AZ240" s="16">
        <v>0</v>
      </c>
      <c r="BA240" s="16">
        <v>3</v>
      </c>
      <c r="BB240" s="16">
        <v>2</v>
      </c>
      <c r="BC240" s="17">
        <v>1</v>
      </c>
      <c r="BD240" s="16">
        <v>1</v>
      </c>
      <c r="BE240" s="17">
        <v>0</v>
      </c>
      <c r="BF240" s="17">
        <v>1</v>
      </c>
      <c r="BG240" s="16">
        <v>0</v>
      </c>
      <c r="BH240" s="17">
        <v>0</v>
      </c>
      <c r="BI240" s="16">
        <v>1</v>
      </c>
      <c r="BJ240" s="16">
        <v>0</v>
      </c>
    </row>
    <row r="241" spans="1:62" ht="20.25" customHeight="1" x14ac:dyDescent="0.25">
      <c r="A241" s="62"/>
      <c r="B241" s="14" t="s">
        <v>100</v>
      </c>
      <c r="C241" s="15"/>
      <c r="D241" s="16">
        <v>2</v>
      </c>
      <c r="E241" s="16">
        <v>1</v>
      </c>
      <c r="F241" s="16">
        <v>0</v>
      </c>
      <c r="G241" s="17">
        <v>1</v>
      </c>
      <c r="H241" s="16">
        <v>1</v>
      </c>
      <c r="I241" s="16">
        <v>1</v>
      </c>
      <c r="J241" s="16">
        <v>1</v>
      </c>
      <c r="K241" s="16">
        <v>2</v>
      </c>
      <c r="L241" s="16">
        <v>1</v>
      </c>
      <c r="M241" s="16">
        <v>2</v>
      </c>
      <c r="N241" s="16">
        <v>2</v>
      </c>
      <c r="O241" s="16">
        <v>1</v>
      </c>
      <c r="P241" s="16">
        <v>1</v>
      </c>
      <c r="Q241" s="16">
        <v>2</v>
      </c>
      <c r="R241" s="17">
        <v>1</v>
      </c>
      <c r="S241" s="16">
        <v>2</v>
      </c>
      <c r="T241" s="16">
        <v>1</v>
      </c>
      <c r="U241" s="16">
        <v>1</v>
      </c>
      <c r="V241" s="16">
        <v>2</v>
      </c>
      <c r="W241" s="16">
        <v>0</v>
      </c>
      <c r="X241" s="16">
        <v>2</v>
      </c>
      <c r="Y241" s="16">
        <v>2</v>
      </c>
      <c r="Z241" s="16">
        <v>0</v>
      </c>
      <c r="AA241" s="17">
        <v>2</v>
      </c>
      <c r="AB241" s="16">
        <v>2</v>
      </c>
      <c r="AC241" s="16">
        <v>2</v>
      </c>
      <c r="AD241" s="17">
        <v>1</v>
      </c>
      <c r="AE241" s="17">
        <v>2</v>
      </c>
      <c r="AF241" s="17">
        <v>3</v>
      </c>
      <c r="AG241" s="16">
        <v>2</v>
      </c>
      <c r="AH241" s="16">
        <v>1</v>
      </c>
      <c r="AI241" s="17">
        <v>2</v>
      </c>
      <c r="AJ241" s="16">
        <v>2</v>
      </c>
      <c r="AK241" s="16">
        <v>1</v>
      </c>
      <c r="AL241" s="16">
        <v>2</v>
      </c>
      <c r="AM241" s="16">
        <v>2</v>
      </c>
      <c r="AN241" s="16">
        <v>2</v>
      </c>
      <c r="AO241" s="16">
        <v>2</v>
      </c>
      <c r="AP241" s="17">
        <v>1</v>
      </c>
      <c r="AQ241" s="16">
        <v>1</v>
      </c>
      <c r="AR241" s="17">
        <v>3</v>
      </c>
      <c r="AS241" s="17">
        <v>1</v>
      </c>
      <c r="AT241" s="16">
        <v>0</v>
      </c>
      <c r="AU241" s="17">
        <v>2</v>
      </c>
      <c r="AV241" s="16">
        <v>1</v>
      </c>
      <c r="AW241" s="16">
        <v>2</v>
      </c>
      <c r="AX241" s="16">
        <v>2</v>
      </c>
      <c r="AY241" s="16">
        <v>1</v>
      </c>
      <c r="AZ241" s="16">
        <v>2</v>
      </c>
      <c r="BA241" s="16">
        <v>0</v>
      </c>
      <c r="BB241" s="16">
        <v>0</v>
      </c>
      <c r="BC241" s="17">
        <v>2</v>
      </c>
      <c r="BD241" s="16">
        <v>1</v>
      </c>
      <c r="BE241" s="17">
        <v>1</v>
      </c>
      <c r="BF241" s="17">
        <v>2</v>
      </c>
      <c r="BG241" s="16">
        <v>0</v>
      </c>
      <c r="BH241" s="17">
        <v>1</v>
      </c>
      <c r="BI241" s="16">
        <v>3</v>
      </c>
      <c r="BJ241" s="16">
        <v>1</v>
      </c>
    </row>
    <row r="242" spans="1:62" ht="15.75" customHeight="1" x14ac:dyDescent="0.25">
      <c r="A242" s="62"/>
      <c r="B242" s="18">
        <v>46192</v>
      </c>
      <c r="C242" s="60" t="s">
        <v>65</v>
      </c>
      <c r="D242" s="55">
        <f t="shared" ref="D242:BJ242" si="90">IF($C240="",0,IF(AND(D240=$C240,D241=$C241),5,IF(OR(AND(D240-D241&gt;0,$C240-$C241&gt;0),AND(D241-D240&gt;0,$C241-$C240&gt;0),AND(D240-D241=0,$C240-$C241=0)),2,0)+IF(OR(D240=$C240,D241=$C241),1,0)))</f>
        <v>0</v>
      </c>
      <c r="E242" s="55">
        <f t="shared" si="90"/>
        <v>0</v>
      </c>
      <c r="F242" s="55">
        <f t="shared" si="90"/>
        <v>0</v>
      </c>
      <c r="G242" s="55">
        <f t="shared" si="90"/>
        <v>0</v>
      </c>
      <c r="H242" s="55">
        <f t="shared" si="90"/>
        <v>0</v>
      </c>
      <c r="I242" s="55">
        <f t="shared" si="90"/>
        <v>0</v>
      </c>
      <c r="J242" s="55">
        <f t="shared" si="90"/>
        <v>0</v>
      </c>
      <c r="K242" s="55">
        <f t="shared" si="90"/>
        <v>0</v>
      </c>
      <c r="L242" s="55">
        <f t="shared" si="90"/>
        <v>0</v>
      </c>
      <c r="M242" s="55">
        <f t="shared" si="90"/>
        <v>0</v>
      </c>
      <c r="N242" s="55">
        <f t="shared" si="90"/>
        <v>0</v>
      </c>
      <c r="O242" s="55">
        <f t="shared" si="90"/>
        <v>0</v>
      </c>
      <c r="P242" s="55">
        <f t="shared" si="90"/>
        <v>0</v>
      </c>
      <c r="Q242" s="55">
        <f t="shared" si="90"/>
        <v>0</v>
      </c>
      <c r="R242" s="55">
        <f t="shared" si="90"/>
        <v>0</v>
      </c>
      <c r="S242" s="55">
        <f t="shared" si="90"/>
        <v>0</v>
      </c>
      <c r="T242" s="55">
        <f t="shared" si="90"/>
        <v>0</v>
      </c>
      <c r="U242" s="55">
        <f t="shared" si="90"/>
        <v>0</v>
      </c>
      <c r="V242" s="55">
        <f t="shared" si="90"/>
        <v>0</v>
      </c>
      <c r="W242" s="55">
        <f t="shared" si="90"/>
        <v>0</v>
      </c>
      <c r="X242" s="55">
        <f t="shared" si="90"/>
        <v>0</v>
      </c>
      <c r="Y242" s="55">
        <f t="shared" si="90"/>
        <v>0</v>
      </c>
      <c r="Z242" s="55">
        <f t="shared" si="90"/>
        <v>0</v>
      </c>
      <c r="AA242" s="55">
        <f t="shared" si="90"/>
        <v>0</v>
      </c>
      <c r="AB242" s="55">
        <f t="shared" si="90"/>
        <v>0</v>
      </c>
      <c r="AC242" s="55">
        <f t="shared" si="90"/>
        <v>0</v>
      </c>
      <c r="AD242" s="55">
        <f t="shared" si="90"/>
        <v>0</v>
      </c>
      <c r="AE242" s="55">
        <f t="shared" si="90"/>
        <v>0</v>
      </c>
      <c r="AF242" s="55">
        <f t="shared" si="90"/>
        <v>0</v>
      </c>
      <c r="AG242" s="55">
        <f t="shared" si="90"/>
        <v>0</v>
      </c>
      <c r="AH242" s="55">
        <f t="shared" si="90"/>
        <v>0</v>
      </c>
      <c r="AI242" s="55">
        <f t="shared" si="90"/>
        <v>0</v>
      </c>
      <c r="AJ242" s="55">
        <f t="shared" si="90"/>
        <v>0</v>
      </c>
      <c r="AK242" s="55">
        <f t="shared" si="90"/>
        <v>0</v>
      </c>
      <c r="AL242" s="55">
        <f t="shared" si="90"/>
        <v>0</v>
      </c>
      <c r="AM242" s="55">
        <f t="shared" si="90"/>
        <v>0</v>
      </c>
      <c r="AN242" s="55">
        <f t="shared" si="90"/>
        <v>0</v>
      </c>
      <c r="AO242" s="55">
        <f t="shared" si="90"/>
        <v>0</v>
      </c>
      <c r="AP242" s="55">
        <f t="shared" si="90"/>
        <v>0</v>
      </c>
      <c r="AQ242" s="55">
        <f t="shared" ref="AQ242" si="91">IF($C240="",0,IF(AND(AQ240=$C240,AQ241=$C241),5,IF(OR(AND(AQ240-AQ241&gt;0,$C240-$C241&gt;0),AND(AQ241-AQ240&gt;0,$C241-$C240&gt;0),AND(AQ240-AQ241=0,$C240-$C241=0)),2,0)+IF(OR(AQ240=$C240,AQ241=$C241),1,0)))</f>
        <v>0</v>
      </c>
      <c r="AR242" s="55">
        <f t="shared" si="90"/>
        <v>0</v>
      </c>
      <c r="AS242" s="55">
        <f t="shared" si="90"/>
        <v>0</v>
      </c>
      <c r="AT242" s="55">
        <f t="shared" si="90"/>
        <v>0</v>
      </c>
      <c r="AU242" s="55">
        <f t="shared" si="90"/>
        <v>0</v>
      </c>
      <c r="AV242" s="55">
        <f t="shared" si="90"/>
        <v>0</v>
      </c>
      <c r="AW242" s="55">
        <f t="shared" si="90"/>
        <v>0</v>
      </c>
      <c r="AX242" s="55">
        <f t="shared" si="90"/>
        <v>0</v>
      </c>
      <c r="AY242" s="55">
        <f t="shared" si="90"/>
        <v>0</v>
      </c>
      <c r="AZ242" s="55">
        <f t="shared" si="90"/>
        <v>0</v>
      </c>
      <c r="BA242" s="55">
        <f t="shared" si="90"/>
        <v>0</v>
      </c>
      <c r="BB242" s="55">
        <f t="shared" si="90"/>
        <v>0</v>
      </c>
      <c r="BC242" s="55">
        <f t="shared" si="90"/>
        <v>0</v>
      </c>
      <c r="BD242" s="55">
        <f t="shared" si="90"/>
        <v>0</v>
      </c>
      <c r="BE242" s="55">
        <f t="shared" si="90"/>
        <v>0</v>
      </c>
      <c r="BF242" s="55">
        <f t="shared" si="90"/>
        <v>0</v>
      </c>
      <c r="BG242" s="55">
        <f t="shared" si="90"/>
        <v>0</v>
      </c>
      <c r="BH242" s="55">
        <f t="shared" si="90"/>
        <v>0</v>
      </c>
      <c r="BI242" s="55">
        <f t="shared" si="90"/>
        <v>0</v>
      </c>
      <c r="BJ242" s="55">
        <f t="shared" si="90"/>
        <v>0</v>
      </c>
    </row>
    <row r="243" spans="1:62" ht="15.75" customHeight="1" x14ac:dyDescent="0.25">
      <c r="A243" s="62"/>
      <c r="B243" s="19">
        <v>0.83333333333333337</v>
      </c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</row>
    <row r="244" spans="1:62" ht="15.75" customHeight="1" x14ac:dyDescent="0.25">
      <c r="A244" s="23"/>
    </row>
    <row r="245" spans="1:62" ht="21" customHeight="1" x14ac:dyDescent="0.25">
      <c r="A245" s="61">
        <v>63</v>
      </c>
      <c r="B245" s="14" t="s">
        <v>100</v>
      </c>
      <c r="C245" s="15"/>
      <c r="D245" s="16">
        <v>1</v>
      </c>
      <c r="E245" s="16">
        <v>2</v>
      </c>
      <c r="F245" s="16">
        <v>2</v>
      </c>
      <c r="G245" s="17">
        <v>1</v>
      </c>
      <c r="H245" s="16">
        <v>1</v>
      </c>
      <c r="I245" s="16">
        <v>0</v>
      </c>
      <c r="J245" s="16">
        <v>1</v>
      </c>
      <c r="K245" s="16">
        <v>0</v>
      </c>
      <c r="L245" s="16">
        <v>1</v>
      </c>
      <c r="M245" s="16">
        <v>2</v>
      </c>
      <c r="N245" s="16">
        <v>1</v>
      </c>
      <c r="O245" s="16">
        <v>1</v>
      </c>
      <c r="P245" s="16">
        <v>1</v>
      </c>
      <c r="Q245" s="16">
        <v>3</v>
      </c>
      <c r="R245" s="17">
        <v>2</v>
      </c>
      <c r="S245" s="16">
        <v>1</v>
      </c>
      <c r="T245" s="16">
        <v>1</v>
      </c>
      <c r="U245" s="16">
        <v>2</v>
      </c>
      <c r="V245" s="16">
        <v>1</v>
      </c>
      <c r="W245" s="16">
        <v>3</v>
      </c>
      <c r="X245" s="16">
        <v>3</v>
      </c>
      <c r="Y245" s="16">
        <v>2</v>
      </c>
      <c r="Z245" s="16">
        <v>1</v>
      </c>
      <c r="AA245" s="17">
        <v>1</v>
      </c>
      <c r="AB245" s="16">
        <v>1</v>
      </c>
      <c r="AC245" s="16">
        <v>1</v>
      </c>
      <c r="AD245" s="17">
        <v>1</v>
      </c>
      <c r="AE245" s="17">
        <v>1</v>
      </c>
      <c r="AF245" s="17">
        <v>2</v>
      </c>
      <c r="AG245" s="16">
        <v>1</v>
      </c>
      <c r="AH245" s="16">
        <v>1</v>
      </c>
      <c r="AI245" s="17">
        <v>1</v>
      </c>
      <c r="AJ245" s="16">
        <v>4</v>
      </c>
      <c r="AK245" s="16">
        <v>1</v>
      </c>
      <c r="AL245" s="16">
        <v>1</v>
      </c>
      <c r="AM245" s="16">
        <v>1</v>
      </c>
      <c r="AN245" s="16">
        <v>1</v>
      </c>
      <c r="AO245" s="16">
        <v>2</v>
      </c>
      <c r="AP245" s="17">
        <v>1</v>
      </c>
      <c r="AQ245" s="16">
        <v>1</v>
      </c>
      <c r="AR245" s="17">
        <v>2</v>
      </c>
      <c r="AS245" s="17">
        <v>1</v>
      </c>
      <c r="AT245" s="16">
        <v>1</v>
      </c>
      <c r="AU245" s="17">
        <v>1</v>
      </c>
      <c r="AV245" s="16">
        <v>2</v>
      </c>
      <c r="AW245" s="16">
        <v>1</v>
      </c>
      <c r="AX245" s="16">
        <v>1</v>
      </c>
      <c r="AY245" s="16">
        <v>1</v>
      </c>
      <c r="AZ245" s="16">
        <v>3</v>
      </c>
      <c r="BA245" s="16">
        <v>0</v>
      </c>
      <c r="BB245" s="16">
        <v>0</v>
      </c>
      <c r="BC245" s="17">
        <v>1</v>
      </c>
      <c r="BD245" s="16">
        <v>1</v>
      </c>
      <c r="BE245" s="17">
        <v>1</v>
      </c>
      <c r="BF245" s="17">
        <v>2</v>
      </c>
      <c r="BG245" s="16">
        <v>2</v>
      </c>
      <c r="BH245" s="17">
        <v>1</v>
      </c>
      <c r="BI245" s="16">
        <v>1</v>
      </c>
      <c r="BJ245" s="16">
        <v>2</v>
      </c>
    </row>
    <row r="246" spans="1:62" ht="22.5" customHeight="1" x14ac:dyDescent="0.25">
      <c r="A246" s="62"/>
      <c r="B246" s="14" t="s">
        <v>101</v>
      </c>
      <c r="C246" s="15"/>
      <c r="D246" s="16">
        <v>1</v>
      </c>
      <c r="E246" s="16">
        <v>1</v>
      </c>
      <c r="F246" s="16">
        <v>2</v>
      </c>
      <c r="G246" s="17">
        <v>0</v>
      </c>
      <c r="H246" s="16">
        <v>1</v>
      </c>
      <c r="I246" s="16">
        <v>3</v>
      </c>
      <c r="J246" s="16">
        <v>1</v>
      </c>
      <c r="K246" s="16">
        <v>0</v>
      </c>
      <c r="L246" s="16">
        <v>1</v>
      </c>
      <c r="M246" s="16">
        <v>1</v>
      </c>
      <c r="N246" s="16">
        <v>1</v>
      </c>
      <c r="O246" s="16">
        <v>2</v>
      </c>
      <c r="P246" s="16">
        <v>1</v>
      </c>
      <c r="Q246" s="16">
        <v>0</v>
      </c>
      <c r="R246" s="17">
        <v>0</v>
      </c>
      <c r="S246" s="16">
        <v>1</v>
      </c>
      <c r="T246" s="16">
        <v>1</v>
      </c>
      <c r="U246" s="16">
        <v>0</v>
      </c>
      <c r="V246" s="16">
        <v>1</v>
      </c>
      <c r="W246" s="16">
        <v>1</v>
      </c>
      <c r="X246" s="16">
        <v>1</v>
      </c>
      <c r="Y246" s="16">
        <v>0</v>
      </c>
      <c r="Z246" s="16">
        <v>1</v>
      </c>
      <c r="AA246" s="17">
        <v>1</v>
      </c>
      <c r="AB246" s="16">
        <v>2</v>
      </c>
      <c r="AC246" s="16">
        <v>1</v>
      </c>
      <c r="AD246" s="17">
        <v>1</v>
      </c>
      <c r="AE246" s="17">
        <v>0</v>
      </c>
      <c r="AF246" s="17">
        <v>1</v>
      </c>
      <c r="AG246" s="16">
        <v>1</v>
      </c>
      <c r="AH246" s="16">
        <v>1</v>
      </c>
      <c r="AI246" s="17">
        <v>2</v>
      </c>
      <c r="AJ246" s="16">
        <v>0</v>
      </c>
      <c r="AK246" s="16">
        <v>0</v>
      </c>
      <c r="AL246" s="16">
        <v>1</v>
      </c>
      <c r="AM246" s="16">
        <v>2</v>
      </c>
      <c r="AN246" s="16">
        <v>1</v>
      </c>
      <c r="AO246" s="16">
        <v>1</v>
      </c>
      <c r="AP246" s="17">
        <v>1</v>
      </c>
      <c r="AQ246" s="16">
        <v>1</v>
      </c>
      <c r="AR246" s="17">
        <v>1</v>
      </c>
      <c r="AS246" s="17">
        <v>1</v>
      </c>
      <c r="AT246" s="16">
        <v>1</v>
      </c>
      <c r="AU246" s="17">
        <v>1</v>
      </c>
      <c r="AV246" s="16">
        <v>1</v>
      </c>
      <c r="AW246" s="16">
        <v>1</v>
      </c>
      <c r="AX246" s="16">
        <v>1</v>
      </c>
      <c r="AY246" s="16">
        <v>0</v>
      </c>
      <c r="AZ246" s="16">
        <v>0</v>
      </c>
      <c r="BA246" s="16">
        <v>0</v>
      </c>
      <c r="BB246" s="16">
        <v>1</v>
      </c>
      <c r="BC246" s="17">
        <v>1</v>
      </c>
      <c r="BD246" s="16">
        <v>1</v>
      </c>
      <c r="BE246" s="17">
        <v>0</v>
      </c>
      <c r="BF246" s="17">
        <v>0</v>
      </c>
      <c r="BG246" s="16">
        <v>1</v>
      </c>
      <c r="BH246" s="17">
        <v>1</v>
      </c>
      <c r="BI246" s="16">
        <v>1</v>
      </c>
      <c r="BJ246" s="16">
        <v>1</v>
      </c>
    </row>
    <row r="247" spans="1:62" ht="15.75" customHeight="1" x14ac:dyDescent="0.25">
      <c r="A247" s="62"/>
      <c r="B247" s="18">
        <v>46197</v>
      </c>
      <c r="C247" s="60" t="s">
        <v>65</v>
      </c>
      <c r="D247" s="55">
        <f t="shared" ref="D247:BJ247" si="92">IF($C245="",0,IF(AND(D245=$C245,D246=$C246),5,IF(OR(AND(D245-D246&gt;0,$C245-$C246&gt;0),AND(D246-D245&gt;0,$C246-$C245&gt;0),AND(D245-D246=0,$C245-$C246=0)),2,0)+IF(OR(D245=$C245,D246=$C246),1,0)))</f>
        <v>0</v>
      </c>
      <c r="E247" s="55">
        <f t="shared" si="92"/>
        <v>0</v>
      </c>
      <c r="F247" s="55">
        <f t="shared" si="92"/>
        <v>0</v>
      </c>
      <c r="G247" s="55">
        <f t="shared" si="92"/>
        <v>0</v>
      </c>
      <c r="H247" s="55">
        <f t="shared" si="92"/>
        <v>0</v>
      </c>
      <c r="I247" s="55">
        <f t="shared" si="92"/>
        <v>0</v>
      </c>
      <c r="J247" s="55">
        <f t="shared" si="92"/>
        <v>0</v>
      </c>
      <c r="K247" s="55">
        <f t="shared" si="92"/>
        <v>0</v>
      </c>
      <c r="L247" s="55">
        <f t="shared" si="92"/>
        <v>0</v>
      </c>
      <c r="M247" s="55">
        <f t="shared" si="92"/>
        <v>0</v>
      </c>
      <c r="N247" s="55">
        <f t="shared" si="92"/>
        <v>0</v>
      </c>
      <c r="O247" s="55">
        <f t="shared" si="92"/>
        <v>0</v>
      </c>
      <c r="P247" s="55">
        <f t="shared" si="92"/>
        <v>0</v>
      </c>
      <c r="Q247" s="55">
        <f t="shared" si="92"/>
        <v>0</v>
      </c>
      <c r="R247" s="55">
        <f t="shared" si="92"/>
        <v>0</v>
      </c>
      <c r="S247" s="55">
        <f t="shared" si="92"/>
        <v>0</v>
      </c>
      <c r="T247" s="55">
        <f t="shared" si="92"/>
        <v>0</v>
      </c>
      <c r="U247" s="55">
        <f t="shared" si="92"/>
        <v>0</v>
      </c>
      <c r="V247" s="55">
        <f t="shared" si="92"/>
        <v>0</v>
      </c>
      <c r="W247" s="55">
        <f t="shared" si="92"/>
        <v>0</v>
      </c>
      <c r="X247" s="55">
        <f t="shared" si="92"/>
        <v>0</v>
      </c>
      <c r="Y247" s="55">
        <f t="shared" si="92"/>
        <v>0</v>
      </c>
      <c r="Z247" s="55">
        <f t="shared" si="92"/>
        <v>0</v>
      </c>
      <c r="AA247" s="55">
        <f t="shared" si="92"/>
        <v>0</v>
      </c>
      <c r="AB247" s="55">
        <f t="shared" si="92"/>
        <v>0</v>
      </c>
      <c r="AC247" s="55">
        <f t="shared" si="92"/>
        <v>0</v>
      </c>
      <c r="AD247" s="55">
        <f t="shared" si="92"/>
        <v>0</v>
      </c>
      <c r="AE247" s="55">
        <f t="shared" si="92"/>
        <v>0</v>
      </c>
      <c r="AF247" s="55">
        <f t="shared" si="92"/>
        <v>0</v>
      </c>
      <c r="AG247" s="55">
        <f t="shared" si="92"/>
        <v>0</v>
      </c>
      <c r="AH247" s="55">
        <f t="shared" si="92"/>
        <v>0</v>
      </c>
      <c r="AI247" s="55">
        <f t="shared" si="92"/>
        <v>0</v>
      </c>
      <c r="AJ247" s="55">
        <f t="shared" si="92"/>
        <v>0</v>
      </c>
      <c r="AK247" s="55">
        <f t="shared" si="92"/>
        <v>0</v>
      </c>
      <c r="AL247" s="55">
        <f t="shared" si="92"/>
        <v>0</v>
      </c>
      <c r="AM247" s="55">
        <f t="shared" si="92"/>
        <v>0</v>
      </c>
      <c r="AN247" s="55">
        <f t="shared" si="92"/>
        <v>0</v>
      </c>
      <c r="AO247" s="55">
        <f t="shared" si="92"/>
        <v>0</v>
      </c>
      <c r="AP247" s="55">
        <f t="shared" si="92"/>
        <v>0</v>
      </c>
      <c r="AQ247" s="55">
        <f t="shared" ref="AQ247" si="93">IF($C245="",0,IF(AND(AQ245=$C245,AQ246=$C246),5,IF(OR(AND(AQ245-AQ246&gt;0,$C245-$C246&gt;0),AND(AQ246-AQ245&gt;0,$C246-$C245&gt;0),AND(AQ245-AQ246=0,$C245-$C246=0)),2,0)+IF(OR(AQ245=$C245,AQ246=$C246),1,0)))</f>
        <v>0</v>
      </c>
      <c r="AR247" s="55">
        <f t="shared" si="92"/>
        <v>0</v>
      </c>
      <c r="AS247" s="55">
        <f t="shared" si="92"/>
        <v>0</v>
      </c>
      <c r="AT247" s="55">
        <f t="shared" si="92"/>
        <v>0</v>
      </c>
      <c r="AU247" s="55">
        <f t="shared" si="92"/>
        <v>0</v>
      </c>
      <c r="AV247" s="55">
        <f t="shared" si="92"/>
        <v>0</v>
      </c>
      <c r="AW247" s="55">
        <f t="shared" si="92"/>
        <v>0</v>
      </c>
      <c r="AX247" s="55">
        <f t="shared" si="92"/>
        <v>0</v>
      </c>
      <c r="AY247" s="55">
        <f t="shared" si="92"/>
        <v>0</v>
      </c>
      <c r="AZ247" s="55">
        <f t="shared" si="92"/>
        <v>0</v>
      </c>
      <c r="BA247" s="55">
        <f t="shared" si="92"/>
        <v>0</v>
      </c>
      <c r="BB247" s="55">
        <f t="shared" si="92"/>
        <v>0</v>
      </c>
      <c r="BC247" s="55">
        <f t="shared" si="92"/>
        <v>0</v>
      </c>
      <c r="BD247" s="55">
        <f t="shared" si="92"/>
        <v>0</v>
      </c>
      <c r="BE247" s="55">
        <f t="shared" si="92"/>
        <v>0</v>
      </c>
      <c r="BF247" s="55">
        <f t="shared" si="92"/>
        <v>0</v>
      </c>
      <c r="BG247" s="55">
        <f t="shared" si="92"/>
        <v>0</v>
      </c>
      <c r="BH247" s="55">
        <f t="shared" si="92"/>
        <v>0</v>
      </c>
      <c r="BI247" s="55">
        <f t="shared" si="92"/>
        <v>0</v>
      </c>
      <c r="BJ247" s="55">
        <f t="shared" si="92"/>
        <v>0</v>
      </c>
    </row>
    <row r="248" spans="1:62" ht="15.75" customHeight="1" x14ac:dyDescent="0.25">
      <c r="A248" s="62"/>
      <c r="B248" s="19">
        <v>0.91666666666666663</v>
      </c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</row>
    <row r="249" spans="1:62" ht="15.75" customHeight="1" x14ac:dyDescent="0.25">
      <c r="A249" s="23"/>
    </row>
    <row r="250" spans="1:62" ht="21.75" customHeight="1" x14ac:dyDescent="0.25">
      <c r="A250" s="61">
        <v>64</v>
      </c>
      <c r="B250" s="14" t="s">
        <v>102</v>
      </c>
      <c r="C250" s="15"/>
      <c r="D250" s="16">
        <v>0</v>
      </c>
      <c r="E250" s="16">
        <v>0</v>
      </c>
      <c r="F250" s="16">
        <v>1</v>
      </c>
      <c r="G250" s="17">
        <v>0</v>
      </c>
      <c r="H250" s="16">
        <v>0</v>
      </c>
      <c r="I250" s="16">
        <v>0</v>
      </c>
      <c r="J250" s="16">
        <v>0</v>
      </c>
      <c r="K250" s="16">
        <v>2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7">
        <v>1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2</v>
      </c>
      <c r="Y250" s="16">
        <v>0</v>
      </c>
      <c r="Z250" s="16">
        <v>1</v>
      </c>
      <c r="AA250" s="17">
        <v>1</v>
      </c>
      <c r="AB250" s="16">
        <v>0</v>
      </c>
      <c r="AC250" s="16">
        <v>0</v>
      </c>
      <c r="AD250" s="17">
        <v>2</v>
      </c>
      <c r="AE250" s="17">
        <v>0</v>
      </c>
      <c r="AF250" s="17">
        <v>0</v>
      </c>
      <c r="AG250" s="16">
        <v>0</v>
      </c>
      <c r="AH250" s="16">
        <v>0</v>
      </c>
      <c r="AI250" s="17">
        <v>2</v>
      </c>
      <c r="AJ250" s="16">
        <v>1</v>
      </c>
      <c r="AK250" s="16">
        <v>1</v>
      </c>
      <c r="AL250" s="16">
        <v>1</v>
      </c>
      <c r="AM250" s="16">
        <v>1</v>
      </c>
      <c r="AN250" s="16">
        <v>0</v>
      </c>
      <c r="AO250" s="16">
        <v>0</v>
      </c>
      <c r="AP250" s="17">
        <v>0</v>
      </c>
      <c r="AQ250" s="16">
        <v>0</v>
      </c>
      <c r="AR250" s="17">
        <v>1</v>
      </c>
      <c r="AS250" s="17">
        <v>0</v>
      </c>
      <c r="AT250" s="16">
        <v>2</v>
      </c>
      <c r="AU250" s="17">
        <v>0</v>
      </c>
      <c r="AV250" s="16">
        <v>2</v>
      </c>
      <c r="AW250" s="16">
        <v>0</v>
      </c>
      <c r="AX250" s="16">
        <v>0</v>
      </c>
      <c r="AY250" s="16">
        <v>0</v>
      </c>
      <c r="AZ250" s="16">
        <v>1</v>
      </c>
      <c r="BA250" s="16">
        <v>1</v>
      </c>
      <c r="BB250" s="16">
        <v>2</v>
      </c>
      <c r="BC250" s="17">
        <v>0</v>
      </c>
      <c r="BD250" s="16">
        <v>0</v>
      </c>
      <c r="BE250" s="17">
        <v>0</v>
      </c>
      <c r="BF250" s="17">
        <v>0</v>
      </c>
      <c r="BG250" s="16">
        <v>1</v>
      </c>
      <c r="BH250" s="17">
        <v>0</v>
      </c>
      <c r="BI250" s="16">
        <v>0</v>
      </c>
      <c r="BJ250" s="16">
        <v>0</v>
      </c>
    </row>
    <row r="251" spans="1:62" ht="22.5" customHeight="1" x14ac:dyDescent="0.25">
      <c r="A251" s="62"/>
      <c r="B251" s="14" t="s">
        <v>99</v>
      </c>
      <c r="C251" s="15"/>
      <c r="D251" s="16">
        <v>3</v>
      </c>
      <c r="E251" s="16">
        <v>3</v>
      </c>
      <c r="F251" s="16">
        <v>2</v>
      </c>
      <c r="G251" s="17">
        <v>4</v>
      </c>
      <c r="H251" s="16">
        <v>3</v>
      </c>
      <c r="I251" s="16">
        <v>1</v>
      </c>
      <c r="J251" s="16">
        <v>3</v>
      </c>
      <c r="K251" s="16">
        <v>3</v>
      </c>
      <c r="L251" s="16">
        <v>3</v>
      </c>
      <c r="M251" s="16">
        <v>3</v>
      </c>
      <c r="N251" s="16">
        <v>3</v>
      </c>
      <c r="O251" s="16">
        <v>3</v>
      </c>
      <c r="P251" s="16">
        <v>2</v>
      </c>
      <c r="Q251" s="16">
        <v>3</v>
      </c>
      <c r="R251" s="17">
        <v>2</v>
      </c>
      <c r="S251" s="16">
        <v>2</v>
      </c>
      <c r="T251" s="16">
        <v>2</v>
      </c>
      <c r="U251" s="16">
        <v>3</v>
      </c>
      <c r="V251" s="16">
        <v>3</v>
      </c>
      <c r="W251" s="16">
        <v>4</v>
      </c>
      <c r="X251" s="16">
        <v>0</v>
      </c>
      <c r="Y251" s="16">
        <v>3</v>
      </c>
      <c r="Z251" s="16">
        <v>2</v>
      </c>
      <c r="AA251" s="17">
        <v>2</v>
      </c>
      <c r="AB251" s="16">
        <v>3</v>
      </c>
      <c r="AC251" s="16">
        <v>2</v>
      </c>
      <c r="AD251" s="17">
        <v>2</v>
      </c>
      <c r="AE251" s="17">
        <v>2</v>
      </c>
      <c r="AF251" s="17">
        <v>2</v>
      </c>
      <c r="AG251" s="16">
        <v>3</v>
      </c>
      <c r="AH251" s="16">
        <v>2</v>
      </c>
      <c r="AI251" s="17">
        <v>2</v>
      </c>
      <c r="AJ251" s="16">
        <v>2</v>
      </c>
      <c r="AK251" s="16">
        <v>4</v>
      </c>
      <c r="AL251" s="16">
        <v>3</v>
      </c>
      <c r="AM251" s="16">
        <v>1</v>
      </c>
      <c r="AN251" s="16">
        <v>3</v>
      </c>
      <c r="AO251" s="16">
        <v>4</v>
      </c>
      <c r="AP251" s="17">
        <v>3</v>
      </c>
      <c r="AQ251" s="16">
        <v>3</v>
      </c>
      <c r="AR251" s="17">
        <v>3</v>
      </c>
      <c r="AS251" s="17">
        <v>3</v>
      </c>
      <c r="AT251" s="16">
        <v>2</v>
      </c>
      <c r="AU251" s="17">
        <v>2</v>
      </c>
      <c r="AV251" s="16">
        <v>2</v>
      </c>
      <c r="AW251" s="16">
        <v>3</v>
      </c>
      <c r="AX251" s="16">
        <v>2</v>
      </c>
      <c r="AY251" s="16">
        <v>2</v>
      </c>
      <c r="AZ251" s="16">
        <v>3</v>
      </c>
      <c r="BA251" s="16">
        <v>3</v>
      </c>
      <c r="BB251" s="16">
        <v>2</v>
      </c>
      <c r="BC251" s="17">
        <v>2</v>
      </c>
      <c r="BD251" s="16">
        <v>2</v>
      </c>
      <c r="BE251" s="17">
        <v>2</v>
      </c>
      <c r="BF251" s="17">
        <v>3</v>
      </c>
      <c r="BG251" s="16">
        <v>3</v>
      </c>
      <c r="BH251" s="17">
        <v>3</v>
      </c>
      <c r="BI251" s="16">
        <v>2</v>
      </c>
      <c r="BJ251" s="16">
        <v>2</v>
      </c>
    </row>
    <row r="252" spans="1:62" ht="15.75" customHeight="1" x14ac:dyDescent="0.25">
      <c r="A252" s="62"/>
      <c r="B252" s="18">
        <v>46197</v>
      </c>
      <c r="C252" s="60" t="s">
        <v>65</v>
      </c>
      <c r="D252" s="55">
        <f t="shared" ref="D252:BJ252" si="94">IF($C250="",0,IF(AND(D250=$C250,D251=$C251),5,IF(OR(AND(D250-D251&gt;0,$C250-$C251&gt;0),AND(D251-D250&gt;0,$C251-$C250&gt;0),AND(D250-D251=0,$C250-$C251=0)),2,0)+IF(OR(D250=$C250,D251=$C251),1,0)))</f>
        <v>0</v>
      </c>
      <c r="E252" s="55">
        <f t="shared" si="94"/>
        <v>0</v>
      </c>
      <c r="F252" s="55">
        <f t="shared" si="94"/>
        <v>0</v>
      </c>
      <c r="G252" s="55">
        <f t="shared" si="94"/>
        <v>0</v>
      </c>
      <c r="H252" s="55">
        <f t="shared" si="94"/>
        <v>0</v>
      </c>
      <c r="I252" s="55">
        <f t="shared" si="94"/>
        <v>0</v>
      </c>
      <c r="J252" s="55">
        <f t="shared" si="94"/>
        <v>0</v>
      </c>
      <c r="K252" s="55">
        <f t="shared" si="94"/>
        <v>0</v>
      </c>
      <c r="L252" s="55">
        <f t="shared" si="94"/>
        <v>0</v>
      </c>
      <c r="M252" s="55">
        <f t="shared" si="94"/>
        <v>0</v>
      </c>
      <c r="N252" s="55">
        <f t="shared" si="94"/>
        <v>0</v>
      </c>
      <c r="O252" s="55">
        <f t="shared" si="94"/>
        <v>0</v>
      </c>
      <c r="P252" s="55">
        <f t="shared" si="94"/>
        <v>0</v>
      </c>
      <c r="Q252" s="55">
        <f t="shared" si="94"/>
        <v>0</v>
      </c>
      <c r="R252" s="55">
        <f t="shared" si="94"/>
        <v>0</v>
      </c>
      <c r="S252" s="55">
        <f t="shared" si="94"/>
        <v>0</v>
      </c>
      <c r="T252" s="55">
        <f t="shared" si="94"/>
        <v>0</v>
      </c>
      <c r="U252" s="55">
        <f t="shared" si="94"/>
        <v>0</v>
      </c>
      <c r="V252" s="55">
        <f t="shared" si="94"/>
        <v>0</v>
      </c>
      <c r="W252" s="55">
        <f t="shared" si="94"/>
        <v>0</v>
      </c>
      <c r="X252" s="55">
        <f t="shared" si="94"/>
        <v>0</v>
      </c>
      <c r="Y252" s="55">
        <f t="shared" si="94"/>
        <v>0</v>
      </c>
      <c r="Z252" s="55">
        <f t="shared" si="94"/>
        <v>0</v>
      </c>
      <c r="AA252" s="55">
        <f t="shared" si="94"/>
        <v>0</v>
      </c>
      <c r="AB252" s="55">
        <f t="shared" si="94"/>
        <v>0</v>
      </c>
      <c r="AC252" s="55">
        <f t="shared" si="94"/>
        <v>0</v>
      </c>
      <c r="AD252" s="55">
        <f t="shared" si="94"/>
        <v>0</v>
      </c>
      <c r="AE252" s="55">
        <f t="shared" si="94"/>
        <v>0</v>
      </c>
      <c r="AF252" s="55">
        <f t="shared" si="94"/>
        <v>0</v>
      </c>
      <c r="AG252" s="55">
        <f t="shared" si="94"/>
        <v>0</v>
      </c>
      <c r="AH252" s="55">
        <f t="shared" si="94"/>
        <v>0</v>
      </c>
      <c r="AI252" s="55">
        <f t="shared" si="94"/>
        <v>0</v>
      </c>
      <c r="AJ252" s="55">
        <f t="shared" si="94"/>
        <v>0</v>
      </c>
      <c r="AK252" s="55">
        <f t="shared" si="94"/>
        <v>0</v>
      </c>
      <c r="AL252" s="55">
        <f t="shared" si="94"/>
        <v>0</v>
      </c>
      <c r="AM252" s="55">
        <f t="shared" si="94"/>
        <v>0</v>
      </c>
      <c r="AN252" s="55">
        <f t="shared" si="94"/>
        <v>0</v>
      </c>
      <c r="AO252" s="55">
        <f t="shared" si="94"/>
        <v>0</v>
      </c>
      <c r="AP252" s="55">
        <f t="shared" si="94"/>
        <v>0</v>
      </c>
      <c r="AQ252" s="55">
        <f t="shared" ref="AQ252" si="95">IF($C250="",0,IF(AND(AQ250=$C250,AQ251=$C251),5,IF(OR(AND(AQ250-AQ251&gt;0,$C250-$C251&gt;0),AND(AQ251-AQ250&gt;0,$C251-$C250&gt;0),AND(AQ250-AQ251=0,$C250-$C251=0)),2,0)+IF(OR(AQ250=$C250,AQ251=$C251),1,0)))</f>
        <v>0</v>
      </c>
      <c r="AR252" s="55">
        <f t="shared" si="94"/>
        <v>0</v>
      </c>
      <c r="AS252" s="55">
        <f t="shared" si="94"/>
        <v>0</v>
      </c>
      <c r="AT252" s="55">
        <f t="shared" si="94"/>
        <v>0</v>
      </c>
      <c r="AU252" s="55">
        <f t="shared" si="94"/>
        <v>0</v>
      </c>
      <c r="AV252" s="55">
        <f t="shared" si="94"/>
        <v>0</v>
      </c>
      <c r="AW252" s="55">
        <f t="shared" si="94"/>
        <v>0</v>
      </c>
      <c r="AX252" s="55">
        <f t="shared" si="94"/>
        <v>0</v>
      </c>
      <c r="AY252" s="55">
        <f t="shared" si="94"/>
        <v>0</v>
      </c>
      <c r="AZ252" s="55">
        <f t="shared" si="94"/>
        <v>0</v>
      </c>
      <c r="BA252" s="55">
        <f t="shared" si="94"/>
        <v>0</v>
      </c>
      <c r="BB252" s="55">
        <f t="shared" si="94"/>
        <v>0</v>
      </c>
      <c r="BC252" s="55">
        <f t="shared" si="94"/>
        <v>0</v>
      </c>
      <c r="BD252" s="55">
        <f t="shared" si="94"/>
        <v>0</v>
      </c>
      <c r="BE252" s="55">
        <f t="shared" si="94"/>
        <v>0</v>
      </c>
      <c r="BF252" s="55">
        <f t="shared" si="94"/>
        <v>0</v>
      </c>
      <c r="BG252" s="55">
        <f t="shared" si="94"/>
        <v>0</v>
      </c>
      <c r="BH252" s="55">
        <f t="shared" si="94"/>
        <v>0</v>
      </c>
      <c r="BI252" s="55">
        <f t="shared" si="94"/>
        <v>0</v>
      </c>
      <c r="BJ252" s="55">
        <f t="shared" si="94"/>
        <v>0</v>
      </c>
    </row>
    <row r="253" spans="1:62" ht="15.75" customHeight="1" x14ac:dyDescent="0.25">
      <c r="A253" s="62"/>
      <c r="B253" s="19">
        <v>0.91666666666666663</v>
      </c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</row>
    <row r="254" spans="1:62" ht="15.75" customHeight="1" x14ac:dyDescent="0.25"/>
    <row r="255" spans="1:62" ht="15.75" customHeight="1" x14ac:dyDescent="0.25"/>
    <row r="256" spans="1:62" ht="15.75" customHeight="1" x14ac:dyDescent="0.25"/>
    <row r="257" spans="1:62" ht="36" customHeight="1" x14ac:dyDescent="0.25">
      <c r="A257" s="57" t="s">
        <v>103</v>
      </c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9"/>
    </row>
    <row r="258" spans="1:62" ht="15.75" customHeight="1" x14ac:dyDescent="0.25">
      <c r="A258" s="2"/>
      <c r="B258" s="2"/>
      <c r="C258" s="2"/>
      <c r="D258" s="2"/>
      <c r="E258" s="2"/>
      <c r="F258" s="2"/>
      <c r="G258" s="2"/>
      <c r="H258" s="3"/>
      <c r="I258" s="3"/>
      <c r="J258" s="3"/>
    </row>
    <row r="259" spans="1:62" ht="15.75" customHeight="1" x14ac:dyDescent="0.25">
      <c r="A259" s="4"/>
      <c r="B259" s="5"/>
      <c r="C259" s="6"/>
      <c r="D259" s="7">
        <v>1</v>
      </c>
      <c r="E259" s="7">
        <v>2</v>
      </c>
      <c r="F259" s="7">
        <v>3</v>
      </c>
      <c r="G259" s="7">
        <v>4</v>
      </c>
      <c r="H259" s="7">
        <v>5</v>
      </c>
      <c r="I259" s="7">
        <v>6</v>
      </c>
      <c r="J259" s="7">
        <v>7</v>
      </c>
      <c r="K259" s="7">
        <v>8</v>
      </c>
      <c r="L259" s="7">
        <v>9</v>
      </c>
      <c r="M259" s="7">
        <v>10</v>
      </c>
      <c r="N259" s="7">
        <v>11</v>
      </c>
      <c r="O259" s="7">
        <v>13</v>
      </c>
      <c r="P259" s="7">
        <v>14</v>
      </c>
      <c r="Q259" s="7">
        <v>15</v>
      </c>
      <c r="R259" s="7">
        <v>16</v>
      </c>
      <c r="S259" s="7">
        <v>17</v>
      </c>
      <c r="T259" s="7">
        <v>18</v>
      </c>
      <c r="U259" s="7">
        <v>19</v>
      </c>
      <c r="V259" s="7">
        <v>20</v>
      </c>
      <c r="W259" s="7">
        <v>21</v>
      </c>
      <c r="X259" s="7">
        <v>22</v>
      </c>
      <c r="Y259" s="7">
        <v>24</v>
      </c>
      <c r="Z259" s="7">
        <v>25</v>
      </c>
      <c r="AA259" s="7">
        <v>26</v>
      </c>
      <c r="AB259" s="7">
        <v>27</v>
      </c>
      <c r="AC259" s="7">
        <v>29</v>
      </c>
      <c r="AD259" s="7">
        <v>30</v>
      </c>
      <c r="AE259" s="7">
        <v>32</v>
      </c>
      <c r="AF259" s="7">
        <v>33</v>
      </c>
      <c r="AG259" s="7">
        <v>34</v>
      </c>
      <c r="AH259" s="7">
        <v>35</v>
      </c>
      <c r="AI259" s="7">
        <v>36</v>
      </c>
      <c r="AJ259" s="7">
        <v>37</v>
      </c>
      <c r="AK259" s="7">
        <v>38</v>
      </c>
      <c r="AL259" s="7">
        <v>39</v>
      </c>
      <c r="AM259" s="7">
        <v>40</v>
      </c>
      <c r="AN259" s="7">
        <v>41</v>
      </c>
      <c r="AO259" s="7">
        <v>42</v>
      </c>
      <c r="AP259" s="7">
        <v>44</v>
      </c>
      <c r="AQ259" s="7">
        <v>67</v>
      </c>
      <c r="AR259" s="7">
        <v>48</v>
      </c>
      <c r="AS259" s="7">
        <v>49</v>
      </c>
      <c r="AT259" s="7">
        <v>51</v>
      </c>
      <c r="AU259" s="7">
        <v>52</v>
      </c>
      <c r="AV259" s="7">
        <v>53</v>
      </c>
      <c r="AW259" s="7">
        <v>54</v>
      </c>
      <c r="AX259" s="7">
        <v>55</v>
      </c>
      <c r="AY259" s="7">
        <v>56</v>
      </c>
      <c r="AZ259" s="7">
        <v>57</v>
      </c>
      <c r="BA259" s="7">
        <v>58</v>
      </c>
      <c r="BB259" s="7">
        <v>59</v>
      </c>
      <c r="BC259" s="7">
        <v>60</v>
      </c>
      <c r="BD259" s="7">
        <v>61</v>
      </c>
      <c r="BE259" s="7">
        <v>62</v>
      </c>
      <c r="BF259" s="7">
        <v>63</v>
      </c>
      <c r="BG259" s="7">
        <v>64</v>
      </c>
      <c r="BH259" s="7">
        <v>65</v>
      </c>
      <c r="BI259" s="7">
        <v>66</v>
      </c>
      <c r="BJ259" s="7">
        <v>67</v>
      </c>
    </row>
    <row r="260" spans="1:62" ht="183" customHeight="1" x14ac:dyDescent="0.25">
      <c r="A260" s="8"/>
      <c r="B260" s="9" t="s">
        <v>3</v>
      </c>
      <c r="C260" s="10" t="s">
        <v>4</v>
      </c>
      <c r="D260" s="11" t="str">
        <f t="shared" ref="D260:BJ260" si="96">D8</f>
        <v>Julian Uribe</v>
      </c>
      <c r="E260" s="11" t="str">
        <f t="shared" si="96"/>
        <v>Yulian Sanchez</v>
      </c>
      <c r="F260" s="11" t="str">
        <f t="shared" si="96"/>
        <v>Francisco Moreno</v>
      </c>
      <c r="G260" s="11" t="str">
        <f t="shared" si="96"/>
        <v>Mauricio Guerrero</v>
      </c>
      <c r="H260" s="11" t="str">
        <f t="shared" si="96"/>
        <v>Gustavo Guerrero</v>
      </c>
      <c r="I260" s="11" t="str">
        <f t="shared" si="96"/>
        <v>Gerardo Martinez</v>
      </c>
      <c r="J260" s="11" t="str">
        <f t="shared" si="96"/>
        <v>Nora Perez</v>
      </c>
      <c r="K260" s="11" t="str">
        <f t="shared" si="96"/>
        <v>Laura Rodriguez</v>
      </c>
      <c r="L260" s="11" t="str">
        <f t="shared" si="96"/>
        <v>Jhoana Moreno</v>
      </c>
      <c r="M260" s="11" t="str">
        <f t="shared" si="96"/>
        <v xml:space="preserve">Yoselin Salinas </v>
      </c>
      <c r="N260" s="11" t="str">
        <f t="shared" si="96"/>
        <v>Luis Diaz</v>
      </c>
      <c r="O260" s="11" t="str">
        <f t="shared" si="96"/>
        <v>Diela del Carmen</v>
      </c>
      <c r="P260" s="11" t="str">
        <f t="shared" si="96"/>
        <v>Paola Agredo</v>
      </c>
      <c r="Q260" s="11" t="str">
        <f t="shared" si="96"/>
        <v>Oscar Suarez</v>
      </c>
      <c r="R260" s="11" t="str">
        <f t="shared" si="96"/>
        <v>Paulo Figueroa</v>
      </c>
      <c r="S260" s="11" t="str">
        <f t="shared" si="96"/>
        <v xml:space="preserve">Jean Piere </v>
      </c>
      <c r="T260" s="11" t="str">
        <f t="shared" si="96"/>
        <v>David Diaz</v>
      </c>
      <c r="U260" s="11" t="str">
        <f t="shared" si="96"/>
        <v xml:space="preserve">Christian Giraldo </v>
      </c>
      <c r="V260" s="11" t="str">
        <f t="shared" si="96"/>
        <v>Viviana Hurtado</v>
      </c>
      <c r="W260" s="11" t="str">
        <f t="shared" si="96"/>
        <v>James Chavez Ocampo</v>
      </c>
      <c r="X260" s="11" t="str">
        <f t="shared" si="96"/>
        <v>Luis Felipe Sanchez</v>
      </c>
      <c r="Y260" s="11" t="str">
        <f t="shared" si="96"/>
        <v>Laura Ossa</v>
      </c>
      <c r="Z260" s="11" t="str">
        <f t="shared" si="96"/>
        <v>Elizabeth Montealegre</v>
      </c>
      <c r="AA260" s="11" t="str">
        <f t="shared" si="96"/>
        <v>Liliana Montealegre</v>
      </c>
      <c r="AB260" s="11" t="str">
        <f t="shared" si="96"/>
        <v>Javier Andres Gomez</v>
      </c>
      <c r="AC260" s="11" t="str">
        <f t="shared" si="96"/>
        <v>Diana Carolina Marin</v>
      </c>
      <c r="AD260" s="11" t="str">
        <f t="shared" si="96"/>
        <v>Diego Fernando Saavedra</v>
      </c>
      <c r="AE260" s="11" t="str">
        <f t="shared" si="96"/>
        <v>Oscar Mayor</v>
      </c>
      <c r="AF260" s="11" t="str">
        <f t="shared" si="96"/>
        <v>Ingrid Toro</v>
      </c>
      <c r="AG260" s="11" t="str">
        <f t="shared" si="96"/>
        <v>Ana Marcela Castro</v>
      </c>
      <c r="AH260" s="11" t="str">
        <f t="shared" si="96"/>
        <v>Ricardo Gutierrez</v>
      </c>
      <c r="AI260" s="11" t="str">
        <f t="shared" si="96"/>
        <v>Natalia Navarro</v>
      </c>
      <c r="AJ260" s="11" t="str">
        <f t="shared" si="96"/>
        <v>Diana Perez</v>
      </c>
      <c r="AK260" s="11" t="str">
        <f t="shared" si="96"/>
        <v>Sergio Diaz</v>
      </c>
      <c r="AL260" s="11" t="str">
        <f t="shared" si="96"/>
        <v>William Oviedo</v>
      </c>
      <c r="AM260" s="11" t="str">
        <f t="shared" si="96"/>
        <v>Armando Orjuela</v>
      </c>
      <c r="AN260" s="11" t="str">
        <f t="shared" si="96"/>
        <v xml:space="preserve">Helen Muñoz </v>
      </c>
      <c r="AO260" s="11" t="str">
        <f t="shared" si="96"/>
        <v>Julieth Cruz - Luiz Diaz</v>
      </c>
      <c r="AP260" s="11" t="str">
        <f t="shared" si="96"/>
        <v>Jose Luis Montoya</v>
      </c>
      <c r="AQ260" s="11" t="str">
        <f t="shared" ref="AQ260" si="97">AQ8</f>
        <v>Julian Useche</v>
      </c>
      <c r="AR260" s="11" t="str">
        <f t="shared" si="96"/>
        <v>Sebastian Posada</v>
      </c>
      <c r="AS260" s="11" t="str">
        <f t="shared" si="96"/>
        <v>Juan Cifuentes</v>
      </c>
      <c r="AT260" s="11" t="str">
        <f t="shared" si="96"/>
        <v>Rodrigo Dominguez</v>
      </c>
      <c r="AU260" s="11" t="str">
        <f t="shared" si="96"/>
        <v xml:space="preserve">Carlos Calero </v>
      </c>
      <c r="AV260" s="11" t="str">
        <f t="shared" si="96"/>
        <v>Lewhis Spirth Montaño</v>
      </c>
      <c r="AW260" s="11" t="str">
        <f t="shared" si="96"/>
        <v>Sebastian Castro Luna</v>
      </c>
      <c r="AX260" s="11" t="str">
        <f t="shared" si="96"/>
        <v>Francia Orozco</v>
      </c>
      <c r="AY260" s="11" t="str">
        <f t="shared" si="96"/>
        <v>Fredy Rojas</v>
      </c>
      <c r="AZ260" s="11" t="str">
        <f t="shared" si="96"/>
        <v>John Quiñonez</v>
      </c>
      <c r="BA260" s="11" t="str">
        <f t="shared" si="96"/>
        <v>Yuli Guzman</v>
      </c>
      <c r="BB260" s="11" t="str">
        <f t="shared" si="96"/>
        <v>Luis Alfredo Plaza</v>
      </c>
      <c r="BC260" s="11" t="str">
        <f t="shared" si="96"/>
        <v>Naty Bermudez</v>
      </c>
      <c r="BD260" s="11" t="str">
        <f t="shared" si="96"/>
        <v>Edgar Ivan Giraldo Duran</v>
      </c>
      <c r="BE260" s="11" t="str">
        <f t="shared" si="96"/>
        <v>Caterine Filigrana</v>
      </c>
      <c r="BF260" s="11" t="str">
        <f t="shared" si="96"/>
        <v>Adriana Belalcazar</v>
      </c>
      <c r="BG260" s="11" t="str">
        <f t="shared" si="96"/>
        <v>Angelisa Hurtado</v>
      </c>
      <c r="BH260" s="11" t="str">
        <f t="shared" si="96"/>
        <v>Isabela Muñoz</v>
      </c>
      <c r="BI260" s="11" t="str">
        <f t="shared" si="96"/>
        <v>Francisco Moreno Alvarez</v>
      </c>
      <c r="BJ260" s="11" t="str">
        <f t="shared" si="96"/>
        <v>Angelica Maria Panesso</v>
      </c>
    </row>
    <row r="261" spans="1:62" ht="21" customHeight="1" x14ac:dyDescent="0.25">
      <c r="A261" s="61">
        <v>14</v>
      </c>
      <c r="B261" s="14" t="s">
        <v>104</v>
      </c>
      <c r="C261" s="15"/>
      <c r="D261" s="16">
        <v>3</v>
      </c>
      <c r="E261" s="16">
        <v>4</v>
      </c>
      <c r="F261" s="16">
        <v>3</v>
      </c>
      <c r="G261" s="17">
        <v>4</v>
      </c>
      <c r="H261" s="16">
        <v>3</v>
      </c>
      <c r="I261" s="16">
        <v>3</v>
      </c>
      <c r="J261" s="16">
        <v>3</v>
      </c>
      <c r="K261" s="16">
        <v>6</v>
      </c>
      <c r="L261" s="16">
        <v>3</v>
      </c>
      <c r="M261" s="16">
        <v>3</v>
      </c>
      <c r="N261" s="16">
        <v>5</v>
      </c>
      <c r="O261" s="16">
        <v>3</v>
      </c>
      <c r="P261" s="16">
        <v>2</v>
      </c>
      <c r="Q261" s="16">
        <v>4</v>
      </c>
      <c r="R261" s="17">
        <v>3</v>
      </c>
      <c r="S261" s="16">
        <v>3</v>
      </c>
      <c r="T261" s="16">
        <v>3</v>
      </c>
      <c r="U261" s="16">
        <v>5</v>
      </c>
      <c r="V261" s="16">
        <v>3</v>
      </c>
      <c r="W261" s="16">
        <v>8</v>
      </c>
      <c r="X261" s="16">
        <v>3</v>
      </c>
      <c r="Y261" s="16">
        <v>3</v>
      </c>
      <c r="Z261" s="16">
        <v>3</v>
      </c>
      <c r="AA261" s="17">
        <v>4</v>
      </c>
      <c r="AB261" s="16">
        <v>3</v>
      </c>
      <c r="AC261" s="16">
        <v>2</v>
      </c>
      <c r="AD261" s="17">
        <v>2</v>
      </c>
      <c r="AE261" s="17">
        <v>3</v>
      </c>
      <c r="AF261" s="17">
        <v>3</v>
      </c>
      <c r="AG261" s="16">
        <v>3</v>
      </c>
      <c r="AH261" s="16">
        <v>3</v>
      </c>
      <c r="AI261" s="17">
        <v>2</v>
      </c>
      <c r="AJ261" s="16">
        <v>6</v>
      </c>
      <c r="AK261" s="16">
        <v>4</v>
      </c>
      <c r="AL261" s="16">
        <v>3</v>
      </c>
      <c r="AM261" s="16">
        <v>2</v>
      </c>
      <c r="AN261" s="16">
        <v>3</v>
      </c>
      <c r="AO261" s="16">
        <v>4</v>
      </c>
      <c r="AP261" s="17">
        <v>4</v>
      </c>
      <c r="AQ261" s="16">
        <v>3</v>
      </c>
      <c r="AR261" s="17">
        <v>5</v>
      </c>
      <c r="AS261" s="17">
        <v>4</v>
      </c>
      <c r="AT261" s="16">
        <v>2</v>
      </c>
      <c r="AU261" s="17">
        <v>3</v>
      </c>
      <c r="AV261" s="16">
        <v>1</v>
      </c>
      <c r="AW261" s="16">
        <v>5</v>
      </c>
      <c r="AX261" s="16">
        <v>3</v>
      </c>
      <c r="AY261" s="16">
        <v>3</v>
      </c>
      <c r="AZ261" s="16">
        <v>3</v>
      </c>
      <c r="BA261" s="16">
        <v>3</v>
      </c>
      <c r="BB261" s="16">
        <v>3</v>
      </c>
      <c r="BC261" s="17">
        <v>2</v>
      </c>
      <c r="BD261" s="16">
        <v>4</v>
      </c>
      <c r="BE261" s="17">
        <v>2</v>
      </c>
      <c r="BF261" s="17">
        <v>4</v>
      </c>
      <c r="BG261" s="16">
        <v>3</v>
      </c>
      <c r="BH261" s="17">
        <v>4</v>
      </c>
      <c r="BI261" s="16">
        <v>4</v>
      </c>
      <c r="BJ261" s="16">
        <v>2</v>
      </c>
    </row>
    <row r="262" spans="1:62" ht="21" customHeight="1" x14ac:dyDescent="0.25">
      <c r="A262" s="62"/>
      <c r="B262" s="14" t="s">
        <v>105</v>
      </c>
      <c r="C262" s="15"/>
      <c r="D262" s="16">
        <v>0</v>
      </c>
      <c r="E262" s="16">
        <v>0</v>
      </c>
      <c r="F262" s="16">
        <v>1</v>
      </c>
      <c r="G262" s="17">
        <v>0</v>
      </c>
      <c r="H262" s="16">
        <v>0</v>
      </c>
      <c r="I262" s="16">
        <v>1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1</v>
      </c>
      <c r="R262" s="17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1</v>
      </c>
      <c r="X262" s="16">
        <v>0</v>
      </c>
      <c r="Y262" s="16">
        <v>0</v>
      </c>
      <c r="Z262" s="16">
        <v>0</v>
      </c>
      <c r="AA262" s="17">
        <v>0</v>
      </c>
      <c r="AB262" s="16">
        <v>0</v>
      </c>
      <c r="AC262" s="16">
        <v>0</v>
      </c>
      <c r="AD262" s="17">
        <v>0</v>
      </c>
      <c r="AE262" s="17">
        <v>0</v>
      </c>
      <c r="AF262" s="17">
        <v>0</v>
      </c>
      <c r="AG262" s="16">
        <v>0</v>
      </c>
      <c r="AH262" s="16">
        <v>0</v>
      </c>
      <c r="AI262" s="17">
        <v>0</v>
      </c>
      <c r="AJ262" s="16">
        <v>0</v>
      </c>
      <c r="AK262" s="16">
        <v>0</v>
      </c>
      <c r="AL262" s="16">
        <v>1</v>
      </c>
      <c r="AM262" s="16">
        <v>0</v>
      </c>
      <c r="AN262" s="16">
        <v>0</v>
      </c>
      <c r="AO262" s="16">
        <v>0</v>
      </c>
      <c r="AP262" s="17">
        <v>0</v>
      </c>
      <c r="AQ262" s="16">
        <v>0</v>
      </c>
      <c r="AR262" s="17">
        <v>0</v>
      </c>
      <c r="AS262" s="17">
        <v>0</v>
      </c>
      <c r="AT262" s="16">
        <v>1</v>
      </c>
      <c r="AU262" s="17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1</v>
      </c>
      <c r="BC262" s="17">
        <v>0</v>
      </c>
      <c r="BD262" s="16">
        <v>0</v>
      </c>
      <c r="BE262" s="17">
        <v>0</v>
      </c>
      <c r="BF262" s="17">
        <v>0</v>
      </c>
      <c r="BG262" s="16">
        <v>0</v>
      </c>
      <c r="BH262" s="17">
        <v>0</v>
      </c>
      <c r="BI262" s="16">
        <v>0</v>
      </c>
      <c r="BJ262" s="16">
        <v>0</v>
      </c>
    </row>
    <row r="263" spans="1:62" ht="15.75" customHeight="1" x14ac:dyDescent="0.25">
      <c r="A263" s="62"/>
      <c r="B263" s="18">
        <v>46188</v>
      </c>
      <c r="C263" s="60" t="s">
        <v>65</v>
      </c>
      <c r="D263" s="55">
        <f t="shared" ref="D263:BJ263" si="98">IF($C261="",0,IF(AND(D261=$C261,D262=$C262),5,IF(OR(AND(D261-D262&gt;0,$C261-$C262&gt;0),AND(D262-D261&gt;0,$C262-$C261&gt;0),AND(D261-D262=0,$C261-$C262=0)),2,0)+IF(OR(D261=$C261,D262=$C262),1,0)))</f>
        <v>0</v>
      </c>
      <c r="E263" s="55">
        <f t="shared" si="98"/>
        <v>0</v>
      </c>
      <c r="F263" s="55">
        <f t="shared" si="98"/>
        <v>0</v>
      </c>
      <c r="G263" s="55">
        <f t="shared" si="98"/>
        <v>0</v>
      </c>
      <c r="H263" s="55">
        <f t="shared" si="98"/>
        <v>0</v>
      </c>
      <c r="I263" s="55">
        <f t="shared" si="98"/>
        <v>0</v>
      </c>
      <c r="J263" s="55">
        <f t="shared" si="98"/>
        <v>0</v>
      </c>
      <c r="K263" s="55">
        <f t="shared" si="98"/>
        <v>0</v>
      </c>
      <c r="L263" s="55">
        <f t="shared" si="98"/>
        <v>0</v>
      </c>
      <c r="M263" s="55">
        <f t="shared" si="98"/>
        <v>0</v>
      </c>
      <c r="N263" s="55">
        <f t="shared" si="98"/>
        <v>0</v>
      </c>
      <c r="O263" s="55">
        <f t="shared" si="98"/>
        <v>0</v>
      </c>
      <c r="P263" s="55">
        <f t="shared" si="98"/>
        <v>0</v>
      </c>
      <c r="Q263" s="55">
        <f t="shared" si="98"/>
        <v>0</v>
      </c>
      <c r="R263" s="55">
        <f t="shared" si="98"/>
        <v>0</v>
      </c>
      <c r="S263" s="55">
        <f t="shared" si="98"/>
        <v>0</v>
      </c>
      <c r="T263" s="55">
        <f t="shared" si="98"/>
        <v>0</v>
      </c>
      <c r="U263" s="55">
        <f t="shared" si="98"/>
        <v>0</v>
      </c>
      <c r="V263" s="55">
        <f t="shared" si="98"/>
        <v>0</v>
      </c>
      <c r="W263" s="55">
        <f t="shared" si="98"/>
        <v>0</v>
      </c>
      <c r="X263" s="55">
        <f t="shared" si="98"/>
        <v>0</v>
      </c>
      <c r="Y263" s="55">
        <f t="shared" si="98"/>
        <v>0</v>
      </c>
      <c r="Z263" s="55">
        <f t="shared" si="98"/>
        <v>0</v>
      </c>
      <c r="AA263" s="55">
        <f t="shared" si="98"/>
        <v>0</v>
      </c>
      <c r="AB263" s="55">
        <f t="shared" si="98"/>
        <v>0</v>
      </c>
      <c r="AC263" s="55">
        <f t="shared" si="98"/>
        <v>0</v>
      </c>
      <c r="AD263" s="55">
        <f t="shared" si="98"/>
        <v>0</v>
      </c>
      <c r="AE263" s="55">
        <f t="shared" si="98"/>
        <v>0</v>
      </c>
      <c r="AF263" s="55">
        <f t="shared" si="98"/>
        <v>0</v>
      </c>
      <c r="AG263" s="55">
        <f t="shared" si="98"/>
        <v>0</v>
      </c>
      <c r="AH263" s="55">
        <f t="shared" si="98"/>
        <v>0</v>
      </c>
      <c r="AI263" s="55">
        <f t="shared" si="98"/>
        <v>0</v>
      </c>
      <c r="AJ263" s="55">
        <f t="shared" si="98"/>
        <v>0</v>
      </c>
      <c r="AK263" s="55">
        <f t="shared" si="98"/>
        <v>0</v>
      </c>
      <c r="AL263" s="55">
        <f t="shared" si="98"/>
        <v>0</v>
      </c>
      <c r="AM263" s="55">
        <f t="shared" si="98"/>
        <v>0</v>
      </c>
      <c r="AN263" s="55">
        <f t="shared" si="98"/>
        <v>0</v>
      </c>
      <c r="AO263" s="55">
        <f t="shared" si="98"/>
        <v>0</v>
      </c>
      <c r="AP263" s="55">
        <f t="shared" si="98"/>
        <v>0</v>
      </c>
      <c r="AQ263" s="55">
        <f t="shared" ref="AQ263" si="99">IF($C261="",0,IF(AND(AQ261=$C261,AQ262=$C262),5,IF(OR(AND(AQ261-AQ262&gt;0,$C261-$C262&gt;0),AND(AQ262-AQ261&gt;0,$C262-$C261&gt;0),AND(AQ261-AQ262=0,$C261-$C262=0)),2,0)+IF(OR(AQ261=$C261,AQ262=$C262),1,0)))</f>
        <v>0</v>
      </c>
      <c r="AR263" s="55">
        <f t="shared" si="98"/>
        <v>0</v>
      </c>
      <c r="AS263" s="55">
        <f t="shared" si="98"/>
        <v>0</v>
      </c>
      <c r="AT263" s="55">
        <f t="shared" si="98"/>
        <v>0</v>
      </c>
      <c r="AU263" s="55">
        <f t="shared" si="98"/>
        <v>0</v>
      </c>
      <c r="AV263" s="55">
        <f t="shared" si="98"/>
        <v>0</v>
      </c>
      <c r="AW263" s="55">
        <f t="shared" si="98"/>
        <v>0</v>
      </c>
      <c r="AX263" s="55">
        <f t="shared" si="98"/>
        <v>0</v>
      </c>
      <c r="AY263" s="55">
        <f t="shared" si="98"/>
        <v>0</v>
      </c>
      <c r="AZ263" s="55">
        <f t="shared" si="98"/>
        <v>0</v>
      </c>
      <c r="BA263" s="55">
        <f t="shared" si="98"/>
        <v>0</v>
      </c>
      <c r="BB263" s="55">
        <f t="shared" si="98"/>
        <v>0</v>
      </c>
      <c r="BC263" s="55">
        <f t="shared" si="98"/>
        <v>0</v>
      </c>
      <c r="BD263" s="55">
        <f t="shared" si="98"/>
        <v>0</v>
      </c>
      <c r="BE263" s="55">
        <f t="shared" si="98"/>
        <v>0</v>
      </c>
      <c r="BF263" s="55">
        <f t="shared" si="98"/>
        <v>0</v>
      </c>
      <c r="BG263" s="55">
        <f t="shared" si="98"/>
        <v>0</v>
      </c>
      <c r="BH263" s="55">
        <f t="shared" si="98"/>
        <v>0</v>
      </c>
      <c r="BI263" s="55">
        <f t="shared" si="98"/>
        <v>0</v>
      </c>
      <c r="BJ263" s="55">
        <f t="shared" si="98"/>
        <v>0</v>
      </c>
    </row>
    <row r="264" spans="1:62" ht="15.75" customHeight="1" x14ac:dyDescent="0.25">
      <c r="A264" s="62"/>
      <c r="B264" s="19">
        <v>0.45833333333333331</v>
      </c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</row>
    <row r="265" spans="1:62" ht="15.75" customHeight="1" x14ac:dyDescent="0.25">
      <c r="A265" s="13"/>
      <c r="B265" s="13"/>
      <c r="C265" s="13"/>
      <c r="D265" s="2"/>
      <c r="E265" s="2"/>
      <c r="F265" s="2"/>
      <c r="G265" s="2"/>
      <c r="H265" s="3"/>
      <c r="I265" s="3"/>
      <c r="J265" s="3"/>
    </row>
    <row r="266" spans="1:62" ht="24" customHeight="1" x14ac:dyDescent="0.25">
      <c r="A266" s="61">
        <v>13</v>
      </c>
      <c r="B266" s="14" t="s">
        <v>106</v>
      </c>
      <c r="C266" s="15"/>
      <c r="D266" s="16">
        <v>0</v>
      </c>
      <c r="E266" s="16">
        <v>1</v>
      </c>
      <c r="F266" s="16">
        <v>0</v>
      </c>
      <c r="G266" s="17">
        <v>0</v>
      </c>
      <c r="H266" s="16">
        <v>0</v>
      </c>
      <c r="I266" s="16">
        <v>0</v>
      </c>
      <c r="J266" s="16">
        <v>1</v>
      </c>
      <c r="K266" s="16">
        <v>0</v>
      </c>
      <c r="L266" s="16">
        <v>0</v>
      </c>
      <c r="M266" s="16">
        <v>0</v>
      </c>
      <c r="N266" s="16">
        <v>0</v>
      </c>
      <c r="O266" s="16">
        <v>1</v>
      </c>
      <c r="P266" s="16">
        <v>0</v>
      </c>
      <c r="Q266" s="16">
        <v>0</v>
      </c>
      <c r="R266" s="17">
        <v>1</v>
      </c>
      <c r="S266" s="16">
        <v>0</v>
      </c>
      <c r="T266" s="16">
        <v>1</v>
      </c>
      <c r="U266" s="16">
        <v>0</v>
      </c>
      <c r="V266" s="16">
        <v>1</v>
      </c>
      <c r="W266" s="16">
        <v>1</v>
      </c>
      <c r="X266" s="16">
        <v>1</v>
      </c>
      <c r="Y266" s="16">
        <v>0</v>
      </c>
      <c r="Z266" s="16">
        <v>0</v>
      </c>
      <c r="AA266" s="17">
        <v>1</v>
      </c>
      <c r="AB266" s="16">
        <v>1</v>
      </c>
      <c r="AC266" s="16">
        <v>0</v>
      </c>
      <c r="AD266" s="17">
        <v>1</v>
      </c>
      <c r="AE266" s="17">
        <v>1</v>
      </c>
      <c r="AF266" s="17">
        <v>1</v>
      </c>
      <c r="AG266" s="16">
        <v>0</v>
      </c>
      <c r="AH266" s="16">
        <v>0</v>
      </c>
      <c r="AI266" s="17">
        <v>1</v>
      </c>
      <c r="AJ266" s="16">
        <v>0</v>
      </c>
      <c r="AK266" s="16">
        <v>1</v>
      </c>
      <c r="AL266" s="16">
        <v>2</v>
      </c>
      <c r="AM266" s="16">
        <v>1</v>
      </c>
      <c r="AN266" s="16">
        <v>0</v>
      </c>
      <c r="AO266" s="16">
        <v>0</v>
      </c>
      <c r="AP266" s="17">
        <v>0</v>
      </c>
      <c r="AQ266" s="16">
        <v>1</v>
      </c>
      <c r="AR266" s="17">
        <v>1</v>
      </c>
      <c r="AS266" s="17">
        <v>1</v>
      </c>
      <c r="AT266" s="16">
        <v>1</v>
      </c>
      <c r="AU266" s="17">
        <v>0</v>
      </c>
      <c r="AV266" s="16">
        <v>1</v>
      </c>
      <c r="AW266" s="16">
        <v>0</v>
      </c>
      <c r="AX266" s="16">
        <v>2</v>
      </c>
      <c r="AY266" s="16">
        <v>1</v>
      </c>
      <c r="AZ266" s="16">
        <v>0</v>
      </c>
      <c r="BA266" s="16">
        <v>1</v>
      </c>
      <c r="BB266" s="16">
        <v>1</v>
      </c>
      <c r="BC266" s="17">
        <v>0</v>
      </c>
      <c r="BD266" s="16">
        <v>0</v>
      </c>
      <c r="BE266" s="17">
        <v>1</v>
      </c>
      <c r="BF266" s="17">
        <v>0</v>
      </c>
      <c r="BG266" s="16">
        <v>1</v>
      </c>
      <c r="BH266" s="17">
        <v>1</v>
      </c>
      <c r="BI266" s="16">
        <v>1</v>
      </c>
      <c r="BJ266" s="16">
        <v>0</v>
      </c>
    </row>
    <row r="267" spans="1:62" ht="22.5" customHeight="1" x14ac:dyDescent="0.25">
      <c r="A267" s="62"/>
      <c r="B267" s="14" t="s">
        <v>107</v>
      </c>
      <c r="C267" s="15"/>
      <c r="D267" s="16">
        <v>2</v>
      </c>
      <c r="E267" s="16">
        <v>3</v>
      </c>
      <c r="F267" s="16">
        <v>2</v>
      </c>
      <c r="G267" s="17">
        <v>2</v>
      </c>
      <c r="H267" s="16">
        <v>2</v>
      </c>
      <c r="I267" s="16">
        <v>2</v>
      </c>
      <c r="J267" s="16">
        <v>2</v>
      </c>
      <c r="K267" s="16">
        <v>3</v>
      </c>
      <c r="L267" s="16">
        <v>2</v>
      </c>
      <c r="M267" s="16">
        <v>2</v>
      </c>
      <c r="N267" s="16">
        <v>2</v>
      </c>
      <c r="O267" s="16">
        <v>2</v>
      </c>
      <c r="P267" s="16">
        <v>2</v>
      </c>
      <c r="Q267" s="16">
        <v>2</v>
      </c>
      <c r="R267" s="17">
        <v>2</v>
      </c>
      <c r="S267" s="16">
        <v>2</v>
      </c>
      <c r="T267" s="16">
        <v>2</v>
      </c>
      <c r="U267" s="16">
        <v>3</v>
      </c>
      <c r="V267" s="16">
        <v>2</v>
      </c>
      <c r="W267" s="16">
        <v>2</v>
      </c>
      <c r="X267" s="16">
        <v>1</v>
      </c>
      <c r="Y267" s="16">
        <v>2</v>
      </c>
      <c r="Z267" s="16">
        <v>2</v>
      </c>
      <c r="AA267" s="17">
        <v>2</v>
      </c>
      <c r="AB267" s="16">
        <v>3</v>
      </c>
      <c r="AC267" s="16">
        <v>2</v>
      </c>
      <c r="AD267" s="17">
        <v>2</v>
      </c>
      <c r="AE267" s="17">
        <v>2</v>
      </c>
      <c r="AF267" s="17">
        <v>2</v>
      </c>
      <c r="AG267" s="16">
        <v>2</v>
      </c>
      <c r="AH267" s="16">
        <v>2</v>
      </c>
      <c r="AI267" s="17">
        <v>2</v>
      </c>
      <c r="AJ267" s="16">
        <v>3</v>
      </c>
      <c r="AK267" s="16">
        <v>2</v>
      </c>
      <c r="AL267" s="16">
        <v>3</v>
      </c>
      <c r="AM267" s="16">
        <v>1</v>
      </c>
      <c r="AN267" s="16">
        <v>2</v>
      </c>
      <c r="AO267" s="16">
        <v>2</v>
      </c>
      <c r="AP267" s="17">
        <v>2</v>
      </c>
      <c r="AQ267" s="16">
        <v>2</v>
      </c>
      <c r="AR267" s="17">
        <v>3</v>
      </c>
      <c r="AS267" s="17">
        <v>1</v>
      </c>
      <c r="AT267" s="16">
        <v>2</v>
      </c>
      <c r="AU267" s="17">
        <v>2</v>
      </c>
      <c r="AV267" s="16">
        <v>2</v>
      </c>
      <c r="AW267" s="16">
        <v>2</v>
      </c>
      <c r="AX267" s="16">
        <v>3</v>
      </c>
      <c r="AY267" s="16">
        <v>2</v>
      </c>
      <c r="AZ267" s="16">
        <v>2</v>
      </c>
      <c r="BA267" s="16">
        <v>1</v>
      </c>
      <c r="BB267" s="16">
        <v>2</v>
      </c>
      <c r="BC267" s="17">
        <v>2</v>
      </c>
      <c r="BD267" s="16">
        <v>2</v>
      </c>
      <c r="BE267" s="17">
        <v>2</v>
      </c>
      <c r="BF267" s="17">
        <v>2</v>
      </c>
      <c r="BG267" s="16">
        <v>2</v>
      </c>
      <c r="BH267" s="17">
        <v>2</v>
      </c>
      <c r="BI267" s="16">
        <v>2</v>
      </c>
      <c r="BJ267" s="16">
        <v>1</v>
      </c>
    </row>
    <row r="268" spans="1:62" ht="15.75" customHeight="1" x14ac:dyDescent="0.25">
      <c r="A268" s="62"/>
      <c r="B268" s="18">
        <v>46188</v>
      </c>
      <c r="C268" s="60" t="s">
        <v>65</v>
      </c>
      <c r="D268" s="55">
        <f t="shared" ref="D268:BJ268" si="100">IF($C266="",0,IF(AND(D266=$C266,D267=$C267),5,IF(OR(AND(D266-D267&gt;0,$C266-$C267&gt;0),AND(D267-D266&gt;0,$C267-$C266&gt;0),AND(D266-D267=0,$C266-$C267=0)),2,0)+IF(OR(D266=$C266,D267=$C267),1,0)))</f>
        <v>0</v>
      </c>
      <c r="E268" s="55">
        <f t="shared" si="100"/>
        <v>0</v>
      </c>
      <c r="F268" s="55">
        <f t="shared" si="100"/>
        <v>0</v>
      </c>
      <c r="G268" s="55">
        <f t="shared" si="100"/>
        <v>0</v>
      </c>
      <c r="H268" s="55">
        <f t="shared" si="100"/>
        <v>0</v>
      </c>
      <c r="I268" s="55">
        <f t="shared" si="100"/>
        <v>0</v>
      </c>
      <c r="J268" s="55">
        <f t="shared" si="100"/>
        <v>0</v>
      </c>
      <c r="K268" s="55">
        <f t="shared" si="100"/>
        <v>0</v>
      </c>
      <c r="L268" s="55">
        <f t="shared" si="100"/>
        <v>0</v>
      </c>
      <c r="M268" s="55">
        <f t="shared" si="100"/>
        <v>0</v>
      </c>
      <c r="N268" s="55">
        <f t="shared" si="100"/>
        <v>0</v>
      </c>
      <c r="O268" s="55">
        <f t="shared" si="100"/>
        <v>0</v>
      </c>
      <c r="P268" s="55">
        <f t="shared" si="100"/>
        <v>0</v>
      </c>
      <c r="Q268" s="55">
        <f t="shared" si="100"/>
        <v>0</v>
      </c>
      <c r="R268" s="55">
        <f t="shared" si="100"/>
        <v>0</v>
      </c>
      <c r="S268" s="55">
        <f t="shared" si="100"/>
        <v>0</v>
      </c>
      <c r="T268" s="55">
        <f t="shared" si="100"/>
        <v>0</v>
      </c>
      <c r="U268" s="55">
        <f t="shared" si="100"/>
        <v>0</v>
      </c>
      <c r="V268" s="55">
        <f t="shared" si="100"/>
        <v>0</v>
      </c>
      <c r="W268" s="55">
        <f t="shared" si="100"/>
        <v>0</v>
      </c>
      <c r="X268" s="55">
        <f t="shared" si="100"/>
        <v>0</v>
      </c>
      <c r="Y268" s="55">
        <f t="shared" si="100"/>
        <v>0</v>
      </c>
      <c r="Z268" s="55">
        <f t="shared" si="100"/>
        <v>0</v>
      </c>
      <c r="AA268" s="55">
        <f t="shared" si="100"/>
        <v>0</v>
      </c>
      <c r="AB268" s="55">
        <f t="shared" si="100"/>
        <v>0</v>
      </c>
      <c r="AC268" s="55">
        <f t="shared" si="100"/>
        <v>0</v>
      </c>
      <c r="AD268" s="55">
        <f t="shared" si="100"/>
        <v>0</v>
      </c>
      <c r="AE268" s="55">
        <f t="shared" si="100"/>
        <v>0</v>
      </c>
      <c r="AF268" s="55">
        <f t="shared" si="100"/>
        <v>0</v>
      </c>
      <c r="AG268" s="55">
        <f t="shared" si="100"/>
        <v>0</v>
      </c>
      <c r="AH268" s="55">
        <f t="shared" si="100"/>
        <v>0</v>
      </c>
      <c r="AI268" s="55">
        <f t="shared" si="100"/>
        <v>0</v>
      </c>
      <c r="AJ268" s="55">
        <f t="shared" si="100"/>
        <v>0</v>
      </c>
      <c r="AK268" s="55">
        <f t="shared" si="100"/>
        <v>0</v>
      </c>
      <c r="AL268" s="55">
        <f t="shared" si="100"/>
        <v>0</v>
      </c>
      <c r="AM268" s="55">
        <f t="shared" si="100"/>
        <v>0</v>
      </c>
      <c r="AN268" s="55">
        <f t="shared" si="100"/>
        <v>0</v>
      </c>
      <c r="AO268" s="55">
        <f t="shared" si="100"/>
        <v>0</v>
      </c>
      <c r="AP268" s="55">
        <f t="shared" si="100"/>
        <v>0</v>
      </c>
      <c r="AQ268" s="55">
        <f t="shared" ref="AQ268" si="101">IF($C266="",0,IF(AND(AQ266=$C266,AQ267=$C267),5,IF(OR(AND(AQ266-AQ267&gt;0,$C266-$C267&gt;0),AND(AQ267-AQ266&gt;0,$C267-$C266&gt;0),AND(AQ266-AQ267=0,$C266-$C267=0)),2,0)+IF(OR(AQ266=$C266,AQ267=$C267),1,0)))</f>
        <v>0</v>
      </c>
      <c r="AR268" s="55">
        <f t="shared" si="100"/>
        <v>0</v>
      </c>
      <c r="AS268" s="55">
        <f t="shared" si="100"/>
        <v>0</v>
      </c>
      <c r="AT268" s="55">
        <f t="shared" si="100"/>
        <v>0</v>
      </c>
      <c r="AU268" s="55">
        <f t="shared" si="100"/>
        <v>0</v>
      </c>
      <c r="AV268" s="55">
        <f t="shared" si="100"/>
        <v>0</v>
      </c>
      <c r="AW268" s="55">
        <f t="shared" si="100"/>
        <v>0</v>
      </c>
      <c r="AX268" s="55">
        <f t="shared" si="100"/>
        <v>0</v>
      </c>
      <c r="AY268" s="55">
        <f t="shared" si="100"/>
        <v>0</v>
      </c>
      <c r="AZ268" s="55">
        <f t="shared" si="100"/>
        <v>0</v>
      </c>
      <c r="BA268" s="55">
        <f t="shared" si="100"/>
        <v>0</v>
      </c>
      <c r="BB268" s="55">
        <f t="shared" si="100"/>
        <v>0</v>
      </c>
      <c r="BC268" s="55">
        <f t="shared" si="100"/>
        <v>0</v>
      </c>
      <c r="BD268" s="55">
        <f t="shared" si="100"/>
        <v>0</v>
      </c>
      <c r="BE268" s="55">
        <f t="shared" si="100"/>
        <v>0</v>
      </c>
      <c r="BF268" s="55">
        <f t="shared" si="100"/>
        <v>0</v>
      </c>
      <c r="BG268" s="55">
        <f t="shared" si="100"/>
        <v>0</v>
      </c>
      <c r="BH268" s="55">
        <f t="shared" si="100"/>
        <v>0</v>
      </c>
      <c r="BI268" s="55">
        <f t="shared" si="100"/>
        <v>0</v>
      </c>
      <c r="BJ268" s="55">
        <f t="shared" si="100"/>
        <v>0</v>
      </c>
    </row>
    <row r="269" spans="1:62" ht="15.75" customHeight="1" x14ac:dyDescent="0.25">
      <c r="A269" s="62"/>
      <c r="B269" s="19">
        <v>0.70833333333333337</v>
      </c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</row>
    <row r="270" spans="1:62" ht="15.75" customHeight="1" x14ac:dyDescent="0.25">
      <c r="A270" s="13"/>
      <c r="B270" s="13"/>
      <c r="C270" s="20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</row>
    <row r="271" spans="1:62" ht="23.25" customHeight="1" x14ac:dyDescent="0.25">
      <c r="A271" s="61">
        <v>38</v>
      </c>
      <c r="B271" s="14" t="s">
        <v>104</v>
      </c>
      <c r="C271" s="15"/>
      <c r="D271" s="16">
        <v>3</v>
      </c>
      <c r="E271" s="16">
        <v>3</v>
      </c>
      <c r="F271" s="16">
        <v>4</v>
      </c>
      <c r="G271" s="17">
        <v>3</v>
      </c>
      <c r="H271" s="16">
        <v>2</v>
      </c>
      <c r="I271" s="16">
        <v>4</v>
      </c>
      <c r="J271" s="16">
        <v>2</v>
      </c>
      <c r="K271" s="16">
        <v>5</v>
      </c>
      <c r="L271" s="16">
        <v>2</v>
      </c>
      <c r="M271" s="16">
        <v>2</v>
      </c>
      <c r="N271" s="16">
        <v>4</v>
      </c>
      <c r="O271" s="16">
        <v>2</v>
      </c>
      <c r="P271" s="16">
        <v>3</v>
      </c>
      <c r="Q271" s="16">
        <v>3</v>
      </c>
      <c r="R271" s="17">
        <v>2</v>
      </c>
      <c r="S271" s="16">
        <v>2</v>
      </c>
      <c r="T271" s="16">
        <v>2</v>
      </c>
      <c r="U271" s="16">
        <v>4</v>
      </c>
      <c r="V271" s="16">
        <v>2</v>
      </c>
      <c r="W271" s="16">
        <v>5</v>
      </c>
      <c r="X271" s="16">
        <v>2</v>
      </c>
      <c r="Y271" s="16">
        <v>3</v>
      </c>
      <c r="Z271" s="16">
        <v>2</v>
      </c>
      <c r="AA271" s="17">
        <v>3</v>
      </c>
      <c r="AB271" s="16">
        <v>4</v>
      </c>
      <c r="AC271" s="16">
        <v>3</v>
      </c>
      <c r="AD271" s="17">
        <v>3</v>
      </c>
      <c r="AE271" s="17">
        <v>2</v>
      </c>
      <c r="AF271" s="17">
        <v>2</v>
      </c>
      <c r="AG271" s="16">
        <v>2</v>
      </c>
      <c r="AH271" s="16">
        <v>3</v>
      </c>
      <c r="AI271" s="17">
        <v>3</v>
      </c>
      <c r="AJ271" s="16">
        <v>2</v>
      </c>
      <c r="AK271" s="16">
        <v>3</v>
      </c>
      <c r="AL271" s="16">
        <v>2</v>
      </c>
      <c r="AM271" s="16">
        <v>3</v>
      </c>
      <c r="AN271" s="16">
        <v>3</v>
      </c>
      <c r="AO271" s="16">
        <v>3</v>
      </c>
      <c r="AP271" s="17">
        <v>3</v>
      </c>
      <c r="AQ271" s="16">
        <v>2</v>
      </c>
      <c r="AR271" s="17">
        <v>3</v>
      </c>
      <c r="AS271" s="17">
        <v>2</v>
      </c>
      <c r="AT271" s="16">
        <v>2</v>
      </c>
      <c r="AU271" s="17">
        <v>2</v>
      </c>
      <c r="AV271" s="16">
        <v>2</v>
      </c>
      <c r="AW271" s="16">
        <v>4</v>
      </c>
      <c r="AX271" s="16">
        <v>2</v>
      </c>
      <c r="AY271" s="16">
        <v>2</v>
      </c>
      <c r="AZ271" s="16">
        <v>2</v>
      </c>
      <c r="BA271" s="16">
        <v>3</v>
      </c>
      <c r="BB271" s="16">
        <v>2</v>
      </c>
      <c r="BC271" s="17">
        <v>3</v>
      </c>
      <c r="BD271" s="16">
        <v>2</v>
      </c>
      <c r="BE271" s="17">
        <v>2</v>
      </c>
      <c r="BF271" s="17">
        <v>3</v>
      </c>
      <c r="BG271" s="16">
        <v>2</v>
      </c>
      <c r="BH271" s="17">
        <v>2</v>
      </c>
      <c r="BI271" s="16">
        <v>3</v>
      </c>
      <c r="BJ271" s="16">
        <v>2</v>
      </c>
    </row>
    <row r="272" spans="1:62" ht="21" customHeight="1" x14ac:dyDescent="0.25">
      <c r="A272" s="62"/>
      <c r="B272" s="14" t="s">
        <v>106</v>
      </c>
      <c r="C272" s="15"/>
      <c r="D272" s="16">
        <v>0</v>
      </c>
      <c r="E272" s="16">
        <v>1</v>
      </c>
      <c r="F272" s="16">
        <v>1</v>
      </c>
      <c r="G272" s="17">
        <v>0</v>
      </c>
      <c r="H272" s="16">
        <v>0</v>
      </c>
      <c r="I272" s="16">
        <v>1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1</v>
      </c>
      <c r="Q272" s="16">
        <v>0</v>
      </c>
      <c r="R272" s="17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1</v>
      </c>
      <c r="X272" s="16">
        <v>0</v>
      </c>
      <c r="Y272" s="16">
        <v>0</v>
      </c>
      <c r="Z272" s="16">
        <v>0</v>
      </c>
      <c r="AA272" s="17">
        <v>1</v>
      </c>
      <c r="AB272" s="16">
        <v>1</v>
      </c>
      <c r="AC272" s="16">
        <v>0</v>
      </c>
      <c r="AD272" s="17">
        <v>0</v>
      </c>
      <c r="AE272" s="17">
        <v>0</v>
      </c>
      <c r="AF272" s="17">
        <v>0</v>
      </c>
      <c r="AG272" s="16">
        <v>0</v>
      </c>
      <c r="AH272" s="16">
        <v>0</v>
      </c>
      <c r="AI272" s="17">
        <v>0</v>
      </c>
      <c r="AJ272" s="16">
        <v>0</v>
      </c>
      <c r="AK272" s="16">
        <v>0</v>
      </c>
      <c r="AL272" s="16">
        <v>2</v>
      </c>
      <c r="AM272" s="16">
        <v>1</v>
      </c>
      <c r="AN272" s="16">
        <v>0</v>
      </c>
      <c r="AO272" s="16">
        <v>0</v>
      </c>
      <c r="AP272" s="17">
        <v>0</v>
      </c>
      <c r="AQ272" s="16">
        <v>0</v>
      </c>
      <c r="AR272" s="17">
        <v>0</v>
      </c>
      <c r="AS272" s="17">
        <v>1</v>
      </c>
      <c r="AT272" s="16">
        <v>1</v>
      </c>
      <c r="AU272" s="17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1</v>
      </c>
      <c r="BB272" s="16">
        <v>0</v>
      </c>
      <c r="BC272" s="17">
        <v>0</v>
      </c>
      <c r="BD272" s="16">
        <v>0</v>
      </c>
      <c r="BE272" s="17">
        <v>0</v>
      </c>
      <c r="BF272" s="17">
        <v>0</v>
      </c>
      <c r="BG272" s="16">
        <v>0</v>
      </c>
      <c r="BH272" s="17">
        <v>0</v>
      </c>
      <c r="BI272" s="16">
        <v>0</v>
      </c>
      <c r="BJ272" s="16">
        <v>1</v>
      </c>
    </row>
    <row r="273" spans="1:62" ht="15.75" customHeight="1" x14ac:dyDescent="0.25">
      <c r="A273" s="62"/>
      <c r="B273" s="18">
        <v>46194</v>
      </c>
      <c r="C273" s="60" t="s">
        <v>65</v>
      </c>
      <c r="D273" s="55">
        <f t="shared" ref="D273:BJ273" si="102">IF($C271="",0,IF(AND(D271=$C271,D272=$C272),5,IF(OR(AND(D271-D272&gt;0,$C271-$C272&gt;0),AND(D272-D271&gt;0,$C272-$C271&gt;0),AND(D271-D272=0,$C271-$C272=0)),2,0)+IF(OR(D271=$C271,D272=$C272),1,0)))</f>
        <v>0</v>
      </c>
      <c r="E273" s="55">
        <f t="shared" si="102"/>
        <v>0</v>
      </c>
      <c r="F273" s="55">
        <f t="shared" si="102"/>
        <v>0</v>
      </c>
      <c r="G273" s="55">
        <f t="shared" si="102"/>
        <v>0</v>
      </c>
      <c r="H273" s="55">
        <f t="shared" si="102"/>
        <v>0</v>
      </c>
      <c r="I273" s="55">
        <f t="shared" si="102"/>
        <v>0</v>
      </c>
      <c r="J273" s="55">
        <f t="shared" si="102"/>
        <v>0</v>
      </c>
      <c r="K273" s="55">
        <f t="shared" si="102"/>
        <v>0</v>
      </c>
      <c r="L273" s="55">
        <f t="shared" si="102"/>
        <v>0</v>
      </c>
      <c r="M273" s="55">
        <f t="shared" si="102"/>
        <v>0</v>
      </c>
      <c r="N273" s="55">
        <f t="shared" si="102"/>
        <v>0</v>
      </c>
      <c r="O273" s="55">
        <f t="shared" si="102"/>
        <v>0</v>
      </c>
      <c r="P273" s="55">
        <f t="shared" si="102"/>
        <v>0</v>
      </c>
      <c r="Q273" s="55">
        <f t="shared" si="102"/>
        <v>0</v>
      </c>
      <c r="R273" s="55">
        <f t="shared" si="102"/>
        <v>0</v>
      </c>
      <c r="S273" s="55">
        <f t="shared" si="102"/>
        <v>0</v>
      </c>
      <c r="T273" s="55">
        <f t="shared" si="102"/>
        <v>0</v>
      </c>
      <c r="U273" s="55">
        <f t="shared" si="102"/>
        <v>0</v>
      </c>
      <c r="V273" s="55">
        <f t="shared" si="102"/>
        <v>0</v>
      </c>
      <c r="W273" s="55">
        <f t="shared" si="102"/>
        <v>0</v>
      </c>
      <c r="X273" s="55">
        <f t="shared" si="102"/>
        <v>0</v>
      </c>
      <c r="Y273" s="55">
        <f t="shared" si="102"/>
        <v>0</v>
      </c>
      <c r="Z273" s="55">
        <f t="shared" si="102"/>
        <v>0</v>
      </c>
      <c r="AA273" s="55">
        <f t="shared" si="102"/>
        <v>0</v>
      </c>
      <c r="AB273" s="55">
        <f t="shared" si="102"/>
        <v>0</v>
      </c>
      <c r="AC273" s="55">
        <f t="shared" si="102"/>
        <v>0</v>
      </c>
      <c r="AD273" s="55">
        <f t="shared" si="102"/>
        <v>0</v>
      </c>
      <c r="AE273" s="55">
        <f t="shared" si="102"/>
        <v>0</v>
      </c>
      <c r="AF273" s="55">
        <f t="shared" si="102"/>
        <v>0</v>
      </c>
      <c r="AG273" s="55">
        <f t="shared" si="102"/>
        <v>0</v>
      </c>
      <c r="AH273" s="55">
        <f t="shared" si="102"/>
        <v>0</v>
      </c>
      <c r="AI273" s="55">
        <f t="shared" si="102"/>
        <v>0</v>
      </c>
      <c r="AJ273" s="55">
        <f t="shared" si="102"/>
        <v>0</v>
      </c>
      <c r="AK273" s="55">
        <f t="shared" si="102"/>
        <v>0</v>
      </c>
      <c r="AL273" s="55">
        <f t="shared" si="102"/>
        <v>0</v>
      </c>
      <c r="AM273" s="55">
        <f t="shared" si="102"/>
        <v>0</v>
      </c>
      <c r="AN273" s="55">
        <f t="shared" si="102"/>
        <v>0</v>
      </c>
      <c r="AO273" s="55">
        <f t="shared" si="102"/>
        <v>0</v>
      </c>
      <c r="AP273" s="55">
        <f t="shared" si="102"/>
        <v>0</v>
      </c>
      <c r="AQ273" s="55">
        <f t="shared" ref="AQ273" si="103">IF($C271="",0,IF(AND(AQ271=$C271,AQ272=$C272),5,IF(OR(AND(AQ271-AQ272&gt;0,$C271-$C272&gt;0),AND(AQ272-AQ271&gt;0,$C272-$C271&gt;0),AND(AQ271-AQ272=0,$C271-$C272=0)),2,0)+IF(OR(AQ271=$C271,AQ272=$C272),1,0)))</f>
        <v>0</v>
      </c>
      <c r="AR273" s="55">
        <f t="shared" si="102"/>
        <v>0</v>
      </c>
      <c r="AS273" s="55">
        <f t="shared" si="102"/>
        <v>0</v>
      </c>
      <c r="AT273" s="55">
        <f t="shared" si="102"/>
        <v>0</v>
      </c>
      <c r="AU273" s="55">
        <f t="shared" si="102"/>
        <v>0</v>
      </c>
      <c r="AV273" s="55">
        <f t="shared" si="102"/>
        <v>0</v>
      </c>
      <c r="AW273" s="55">
        <f t="shared" si="102"/>
        <v>0</v>
      </c>
      <c r="AX273" s="55">
        <f t="shared" si="102"/>
        <v>0</v>
      </c>
      <c r="AY273" s="55">
        <f t="shared" si="102"/>
        <v>0</v>
      </c>
      <c r="AZ273" s="55">
        <f t="shared" si="102"/>
        <v>0</v>
      </c>
      <c r="BA273" s="55">
        <f t="shared" si="102"/>
        <v>0</v>
      </c>
      <c r="BB273" s="55">
        <f t="shared" si="102"/>
        <v>0</v>
      </c>
      <c r="BC273" s="55">
        <f t="shared" si="102"/>
        <v>0</v>
      </c>
      <c r="BD273" s="55">
        <f t="shared" si="102"/>
        <v>0</v>
      </c>
      <c r="BE273" s="55">
        <f t="shared" si="102"/>
        <v>0</v>
      </c>
      <c r="BF273" s="55">
        <f t="shared" si="102"/>
        <v>0</v>
      </c>
      <c r="BG273" s="55">
        <f t="shared" si="102"/>
        <v>0</v>
      </c>
      <c r="BH273" s="55">
        <f t="shared" si="102"/>
        <v>0</v>
      </c>
      <c r="BI273" s="55">
        <f t="shared" si="102"/>
        <v>0</v>
      </c>
      <c r="BJ273" s="55">
        <f t="shared" si="102"/>
        <v>0</v>
      </c>
    </row>
    <row r="274" spans="1:62" ht="15.75" customHeight="1" x14ac:dyDescent="0.25">
      <c r="A274" s="62"/>
      <c r="B274" s="19">
        <v>0.45833333333333331</v>
      </c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</row>
    <row r="275" spans="1:62" ht="15.75" customHeight="1" x14ac:dyDescent="0.25">
      <c r="A275" s="13"/>
      <c r="B275" s="13"/>
      <c r="C275" s="20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>
        <v>1</v>
      </c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</row>
    <row r="276" spans="1:62" ht="21.75" customHeight="1" x14ac:dyDescent="0.25">
      <c r="A276" s="61">
        <v>37</v>
      </c>
      <c r="B276" s="14" t="s">
        <v>107</v>
      </c>
      <c r="C276" s="15"/>
      <c r="D276" s="16">
        <v>2</v>
      </c>
      <c r="E276" s="16">
        <v>2</v>
      </c>
      <c r="F276" s="16">
        <v>2</v>
      </c>
      <c r="G276" s="17">
        <v>2</v>
      </c>
      <c r="H276" s="16">
        <v>3</v>
      </c>
      <c r="I276" s="16">
        <v>3</v>
      </c>
      <c r="J276" s="16">
        <v>2</v>
      </c>
      <c r="K276" s="16">
        <v>4</v>
      </c>
      <c r="L276" s="16">
        <v>2</v>
      </c>
      <c r="M276" s="16">
        <v>3</v>
      </c>
      <c r="N276" s="16">
        <v>3</v>
      </c>
      <c r="O276" s="16">
        <v>2</v>
      </c>
      <c r="P276" s="16">
        <v>3</v>
      </c>
      <c r="Q276" s="16">
        <v>3</v>
      </c>
      <c r="R276" s="17">
        <v>2</v>
      </c>
      <c r="S276" s="16">
        <v>1</v>
      </c>
      <c r="T276" s="16">
        <v>2</v>
      </c>
      <c r="U276" s="16">
        <v>3</v>
      </c>
      <c r="V276" s="16">
        <v>2</v>
      </c>
      <c r="W276" s="16">
        <v>6</v>
      </c>
      <c r="X276" s="16">
        <v>3</v>
      </c>
      <c r="Y276" s="16">
        <v>2</v>
      </c>
      <c r="Z276" s="16">
        <v>2</v>
      </c>
      <c r="AA276" s="17">
        <v>2</v>
      </c>
      <c r="AB276" s="16">
        <v>3</v>
      </c>
      <c r="AC276" s="16">
        <v>2</v>
      </c>
      <c r="AD276" s="17">
        <v>3</v>
      </c>
      <c r="AE276" s="17">
        <v>2</v>
      </c>
      <c r="AF276" s="17">
        <v>2</v>
      </c>
      <c r="AG276" s="16">
        <v>2</v>
      </c>
      <c r="AH276" s="16">
        <v>3</v>
      </c>
      <c r="AI276" s="17">
        <v>3</v>
      </c>
      <c r="AJ276" s="16">
        <v>3</v>
      </c>
      <c r="AK276" s="16">
        <v>4</v>
      </c>
      <c r="AL276" s="16">
        <v>1</v>
      </c>
      <c r="AM276" s="16">
        <v>2</v>
      </c>
      <c r="AN276" s="16">
        <v>2</v>
      </c>
      <c r="AO276" s="16">
        <v>3</v>
      </c>
      <c r="AP276" s="17">
        <v>2</v>
      </c>
      <c r="AQ276" s="16">
        <v>3</v>
      </c>
      <c r="AR276" s="17">
        <v>4</v>
      </c>
      <c r="AS276" s="17">
        <v>2</v>
      </c>
      <c r="AT276" s="16">
        <v>2</v>
      </c>
      <c r="AU276" s="17">
        <v>2</v>
      </c>
      <c r="AV276" s="16">
        <v>3</v>
      </c>
      <c r="AW276" s="16">
        <v>2</v>
      </c>
      <c r="AX276" s="16">
        <v>2</v>
      </c>
      <c r="AY276" s="16">
        <v>2</v>
      </c>
      <c r="AZ276" s="16">
        <v>3</v>
      </c>
      <c r="BA276" s="16">
        <v>2</v>
      </c>
      <c r="BB276" s="16">
        <v>2</v>
      </c>
      <c r="BC276" s="17">
        <v>2</v>
      </c>
      <c r="BD276" s="16">
        <v>3</v>
      </c>
      <c r="BE276" s="17">
        <v>3</v>
      </c>
      <c r="BF276" s="17">
        <v>3</v>
      </c>
      <c r="BG276" s="16">
        <v>2</v>
      </c>
      <c r="BH276" s="17">
        <v>2</v>
      </c>
      <c r="BI276" s="16">
        <v>2</v>
      </c>
      <c r="BJ276" s="16">
        <v>2</v>
      </c>
    </row>
    <row r="277" spans="1:62" ht="20.25" customHeight="1" x14ac:dyDescent="0.25">
      <c r="A277" s="62"/>
      <c r="B277" s="14" t="s">
        <v>105</v>
      </c>
      <c r="C277" s="15"/>
      <c r="D277" s="16">
        <v>0</v>
      </c>
      <c r="E277" s="16">
        <v>0</v>
      </c>
      <c r="F277" s="16">
        <v>0</v>
      </c>
      <c r="G277" s="17">
        <v>0</v>
      </c>
      <c r="H277" s="16">
        <v>1</v>
      </c>
      <c r="I277" s="16">
        <v>1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1</v>
      </c>
      <c r="Q277" s="16">
        <v>1</v>
      </c>
      <c r="R277" s="17">
        <v>0</v>
      </c>
      <c r="S277" s="16">
        <v>0</v>
      </c>
      <c r="T277" s="16">
        <v>1</v>
      </c>
      <c r="U277" s="16">
        <v>0</v>
      </c>
      <c r="V277" s="16">
        <v>0</v>
      </c>
      <c r="W277" s="16">
        <v>1</v>
      </c>
      <c r="X277" s="16">
        <v>0</v>
      </c>
      <c r="Y277" s="16">
        <v>0</v>
      </c>
      <c r="Z277" s="16">
        <v>0</v>
      </c>
      <c r="AA277" s="17">
        <v>0</v>
      </c>
      <c r="AB277" s="16">
        <v>0</v>
      </c>
      <c r="AC277" s="16">
        <v>0</v>
      </c>
      <c r="AD277" s="17">
        <v>0</v>
      </c>
      <c r="AE277" s="17">
        <v>0</v>
      </c>
      <c r="AF277" s="17">
        <v>1</v>
      </c>
      <c r="AG277" s="16">
        <v>0</v>
      </c>
      <c r="AH277" s="16">
        <v>0</v>
      </c>
      <c r="AI277" s="17">
        <v>0</v>
      </c>
      <c r="AJ277" s="16">
        <v>1</v>
      </c>
      <c r="AK277" s="16">
        <v>0</v>
      </c>
      <c r="AL277" s="16">
        <v>0</v>
      </c>
      <c r="AM277" s="16">
        <v>1</v>
      </c>
      <c r="AN277" s="16">
        <v>1</v>
      </c>
      <c r="AO277" s="16">
        <v>0</v>
      </c>
      <c r="AP277" s="17">
        <v>0</v>
      </c>
      <c r="AQ277" s="16">
        <v>0</v>
      </c>
      <c r="AR277" s="17">
        <v>1</v>
      </c>
      <c r="AS277" s="17">
        <v>0</v>
      </c>
      <c r="AT277" s="16">
        <v>0</v>
      </c>
      <c r="AU277" s="17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1</v>
      </c>
      <c r="BB277" s="16">
        <v>0</v>
      </c>
      <c r="BC277" s="17">
        <v>1</v>
      </c>
      <c r="BD277" s="16">
        <v>0</v>
      </c>
      <c r="BE277" s="17">
        <v>0</v>
      </c>
      <c r="BF277" s="17">
        <v>0</v>
      </c>
      <c r="BG277" s="16">
        <v>1</v>
      </c>
      <c r="BH277" s="17">
        <v>0</v>
      </c>
      <c r="BI277" s="16">
        <v>0</v>
      </c>
      <c r="BJ277" s="16">
        <v>0</v>
      </c>
    </row>
    <row r="278" spans="1:62" ht="15.75" customHeight="1" x14ac:dyDescent="0.25">
      <c r="A278" s="62"/>
      <c r="B278" s="18">
        <v>46194</v>
      </c>
      <c r="C278" s="60" t="s">
        <v>65</v>
      </c>
      <c r="D278" s="55">
        <f t="shared" ref="D278:BJ278" si="104">IF($C276="",0,IF(AND(D276=$C276,D277=$C277),5,IF(OR(AND(D276-D277&gt;0,$C276-$C277&gt;0),AND(D277-D276&gt;0,$C277-$C276&gt;0),AND(D276-D277=0,$C276-$C277=0)),2,0)+IF(OR(D276=$C276,D277=$C277),1,0)))</f>
        <v>0</v>
      </c>
      <c r="E278" s="55">
        <f t="shared" si="104"/>
        <v>0</v>
      </c>
      <c r="F278" s="55">
        <f t="shared" si="104"/>
        <v>0</v>
      </c>
      <c r="G278" s="55">
        <f t="shared" si="104"/>
        <v>0</v>
      </c>
      <c r="H278" s="55">
        <f t="shared" si="104"/>
        <v>0</v>
      </c>
      <c r="I278" s="55">
        <f t="shared" si="104"/>
        <v>0</v>
      </c>
      <c r="J278" s="55">
        <f t="shared" si="104"/>
        <v>0</v>
      </c>
      <c r="K278" s="55">
        <f t="shared" si="104"/>
        <v>0</v>
      </c>
      <c r="L278" s="55">
        <f t="shared" si="104"/>
        <v>0</v>
      </c>
      <c r="M278" s="55">
        <f t="shared" si="104"/>
        <v>0</v>
      </c>
      <c r="N278" s="55">
        <f t="shared" si="104"/>
        <v>0</v>
      </c>
      <c r="O278" s="55">
        <f t="shared" si="104"/>
        <v>0</v>
      </c>
      <c r="P278" s="55">
        <f t="shared" si="104"/>
        <v>0</v>
      </c>
      <c r="Q278" s="55">
        <f t="shared" si="104"/>
        <v>0</v>
      </c>
      <c r="R278" s="55">
        <f t="shared" si="104"/>
        <v>0</v>
      </c>
      <c r="S278" s="55">
        <f t="shared" si="104"/>
        <v>0</v>
      </c>
      <c r="T278" s="55">
        <f t="shared" si="104"/>
        <v>0</v>
      </c>
      <c r="U278" s="55">
        <f t="shared" si="104"/>
        <v>0</v>
      </c>
      <c r="V278" s="55">
        <f t="shared" si="104"/>
        <v>0</v>
      </c>
      <c r="W278" s="55">
        <f t="shared" si="104"/>
        <v>0</v>
      </c>
      <c r="X278" s="55">
        <f t="shared" si="104"/>
        <v>0</v>
      </c>
      <c r="Y278" s="55">
        <f t="shared" si="104"/>
        <v>0</v>
      </c>
      <c r="Z278" s="55">
        <f t="shared" si="104"/>
        <v>0</v>
      </c>
      <c r="AA278" s="55">
        <f t="shared" si="104"/>
        <v>0</v>
      </c>
      <c r="AB278" s="55">
        <f t="shared" si="104"/>
        <v>0</v>
      </c>
      <c r="AC278" s="55">
        <f t="shared" si="104"/>
        <v>0</v>
      </c>
      <c r="AD278" s="55">
        <f t="shared" si="104"/>
        <v>0</v>
      </c>
      <c r="AE278" s="55">
        <f t="shared" si="104"/>
        <v>0</v>
      </c>
      <c r="AF278" s="55">
        <f t="shared" si="104"/>
        <v>0</v>
      </c>
      <c r="AG278" s="55">
        <f t="shared" si="104"/>
        <v>0</v>
      </c>
      <c r="AH278" s="55">
        <f t="shared" si="104"/>
        <v>0</v>
      </c>
      <c r="AI278" s="55">
        <f t="shared" si="104"/>
        <v>0</v>
      </c>
      <c r="AJ278" s="55">
        <f t="shared" si="104"/>
        <v>0</v>
      </c>
      <c r="AK278" s="55">
        <f t="shared" si="104"/>
        <v>0</v>
      </c>
      <c r="AL278" s="55">
        <f t="shared" si="104"/>
        <v>0</v>
      </c>
      <c r="AM278" s="55">
        <f t="shared" si="104"/>
        <v>0</v>
      </c>
      <c r="AN278" s="55">
        <f t="shared" si="104"/>
        <v>0</v>
      </c>
      <c r="AO278" s="55">
        <f t="shared" si="104"/>
        <v>0</v>
      </c>
      <c r="AP278" s="55">
        <f t="shared" si="104"/>
        <v>0</v>
      </c>
      <c r="AQ278" s="55">
        <f t="shared" ref="AQ278" si="105">IF($C276="",0,IF(AND(AQ276=$C276,AQ277=$C277),5,IF(OR(AND(AQ276-AQ277&gt;0,$C276-$C277&gt;0),AND(AQ277-AQ276&gt;0,$C277-$C276&gt;0),AND(AQ276-AQ277=0,$C276-$C277=0)),2,0)+IF(OR(AQ276=$C276,AQ277=$C277),1,0)))</f>
        <v>0</v>
      </c>
      <c r="AR278" s="55">
        <f t="shared" si="104"/>
        <v>0</v>
      </c>
      <c r="AS278" s="55">
        <f t="shared" si="104"/>
        <v>0</v>
      </c>
      <c r="AT278" s="55">
        <f t="shared" si="104"/>
        <v>0</v>
      </c>
      <c r="AU278" s="55">
        <f t="shared" si="104"/>
        <v>0</v>
      </c>
      <c r="AV278" s="55">
        <f t="shared" si="104"/>
        <v>0</v>
      </c>
      <c r="AW278" s="55">
        <f t="shared" si="104"/>
        <v>0</v>
      </c>
      <c r="AX278" s="55">
        <f t="shared" si="104"/>
        <v>0</v>
      </c>
      <c r="AY278" s="55">
        <f t="shared" si="104"/>
        <v>0</v>
      </c>
      <c r="AZ278" s="55">
        <f t="shared" si="104"/>
        <v>0</v>
      </c>
      <c r="BA278" s="55">
        <f t="shared" si="104"/>
        <v>0</v>
      </c>
      <c r="BB278" s="55">
        <f t="shared" si="104"/>
        <v>0</v>
      </c>
      <c r="BC278" s="55">
        <f t="shared" si="104"/>
        <v>0</v>
      </c>
      <c r="BD278" s="55">
        <f t="shared" si="104"/>
        <v>0</v>
      </c>
      <c r="BE278" s="55">
        <f t="shared" si="104"/>
        <v>0</v>
      </c>
      <c r="BF278" s="55">
        <f t="shared" si="104"/>
        <v>0</v>
      </c>
      <c r="BG278" s="55">
        <f t="shared" si="104"/>
        <v>0</v>
      </c>
      <c r="BH278" s="55">
        <f t="shared" si="104"/>
        <v>0</v>
      </c>
      <c r="BI278" s="55">
        <f t="shared" si="104"/>
        <v>0</v>
      </c>
      <c r="BJ278" s="55">
        <f t="shared" si="104"/>
        <v>0</v>
      </c>
    </row>
    <row r="279" spans="1:62" ht="15.75" customHeight="1" x14ac:dyDescent="0.25">
      <c r="A279" s="62"/>
      <c r="B279" s="19">
        <v>0.70833333333333337</v>
      </c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</row>
    <row r="280" spans="1:62" ht="15.75" customHeight="1" x14ac:dyDescent="0.25">
      <c r="A280" s="23"/>
    </row>
    <row r="281" spans="1:62" ht="20.25" customHeight="1" x14ac:dyDescent="0.25">
      <c r="A281" s="61">
        <v>65</v>
      </c>
      <c r="B281" s="14" t="s">
        <v>108</v>
      </c>
      <c r="C281" s="15"/>
      <c r="D281" s="16">
        <v>1</v>
      </c>
      <c r="E281" s="16">
        <v>1</v>
      </c>
      <c r="F281" s="16">
        <v>1</v>
      </c>
      <c r="G281" s="17">
        <v>1</v>
      </c>
      <c r="H281" s="16">
        <v>1</v>
      </c>
      <c r="I281" s="16">
        <v>2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  <c r="R281" s="17">
        <v>1</v>
      </c>
      <c r="S281" s="16">
        <v>1</v>
      </c>
      <c r="T281" s="16">
        <v>1</v>
      </c>
      <c r="U281" s="16">
        <v>0</v>
      </c>
      <c r="V281" s="16">
        <v>1</v>
      </c>
      <c r="W281" s="16">
        <v>0</v>
      </c>
      <c r="X281" s="16">
        <v>1</v>
      </c>
      <c r="Y281" s="16">
        <v>1</v>
      </c>
      <c r="Z281" s="16">
        <v>1</v>
      </c>
      <c r="AA281" s="17">
        <v>1</v>
      </c>
      <c r="AB281" s="16">
        <v>2</v>
      </c>
      <c r="AC281" s="16">
        <v>1</v>
      </c>
      <c r="AD281" s="17">
        <v>3</v>
      </c>
      <c r="AE281" s="17">
        <v>1</v>
      </c>
      <c r="AF281" s="17">
        <v>1</v>
      </c>
      <c r="AG281" s="16">
        <v>1</v>
      </c>
      <c r="AH281" s="16">
        <v>1</v>
      </c>
      <c r="AI281" s="17">
        <v>3</v>
      </c>
      <c r="AJ281" s="16">
        <v>0</v>
      </c>
      <c r="AK281" s="16">
        <v>0</v>
      </c>
      <c r="AL281" s="16">
        <v>1</v>
      </c>
      <c r="AM281" s="16">
        <v>0</v>
      </c>
      <c r="AN281" s="16">
        <v>1</v>
      </c>
      <c r="AO281" s="16">
        <v>0</v>
      </c>
      <c r="AP281" s="17">
        <v>1</v>
      </c>
      <c r="AQ281" s="16">
        <v>1</v>
      </c>
      <c r="AR281" s="17">
        <v>1</v>
      </c>
      <c r="AS281" s="17">
        <v>1</v>
      </c>
      <c r="AT281" s="16">
        <v>1</v>
      </c>
      <c r="AU281" s="17">
        <v>1</v>
      </c>
      <c r="AV281" s="16">
        <v>1</v>
      </c>
      <c r="AW281" s="16">
        <v>0</v>
      </c>
      <c r="AX281" s="16">
        <v>1</v>
      </c>
      <c r="AY281" s="16">
        <v>1</v>
      </c>
      <c r="AZ281" s="16">
        <v>1</v>
      </c>
      <c r="BA281" s="16">
        <v>1</v>
      </c>
      <c r="BB281" s="16">
        <v>1</v>
      </c>
      <c r="BC281" s="17">
        <v>1</v>
      </c>
      <c r="BD281" s="16">
        <v>0</v>
      </c>
      <c r="BE281" s="17">
        <v>1</v>
      </c>
      <c r="BF281" s="17">
        <v>1</v>
      </c>
      <c r="BG281" s="16">
        <v>0</v>
      </c>
      <c r="BH281" s="17">
        <v>2</v>
      </c>
      <c r="BI281" s="16">
        <v>0</v>
      </c>
      <c r="BJ281" s="16">
        <v>1</v>
      </c>
    </row>
    <row r="282" spans="1:62" ht="21" customHeight="1" x14ac:dyDescent="0.25">
      <c r="A282" s="62"/>
      <c r="B282" s="14" t="s">
        <v>106</v>
      </c>
      <c r="C282" s="15"/>
      <c r="D282" s="16">
        <v>1</v>
      </c>
      <c r="E282" s="16">
        <v>2</v>
      </c>
      <c r="F282" s="16">
        <v>1</v>
      </c>
      <c r="G282" s="17">
        <v>2</v>
      </c>
      <c r="H282" s="16">
        <v>1</v>
      </c>
      <c r="I282" s="16">
        <v>2</v>
      </c>
      <c r="J282" s="16">
        <v>1</v>
      </c>
      <c r="K282" s="16">
        <v>2</v>
      </c>
      <c r="L282" s="16">
        <v>0</v>
      </c>
      <c r="M282" s="16">
        <v>2</v>
      </c>
      <c r="N282" s="16">
        <v>2</v>
      </c>
      <c r="O282" s="16">
        <v>1</v>
      </c>
      <c r="P282" s="16">
        <v>1</v>
      </c>
      <c r="Q282" s="16">
        <v>3</v>
      </c>
      <c r="R282" s="17">
        <v>1</v>
      </c>
      <c r="S282" s="16">
        <v>1</v>
      </c>
      <c r="T282" s="16">
        <v>1</v>
      </c>
      <c r="U282" s="16">
        <v>2</v>
      </c>
      <c r="V282" s="16">
        <v>1</v>
      </c>
      <c r="W282" s="16">
        <v>0</v>
      </c>
      <c r="X282" s="16">
        <v>1</v>
      </c>
      <c r="Y282" s="16">
        <v>1</v>
      </c>
      <c r="Z282" s="16">
        <v>1</v>
      </c>
      <c r="AA282" s="17">
        <v>1</v>
      </c>
      <c r="AB282" s="16">
        <v>2</v>
      </c>
      <c r="AC282" s="16">
        <v>1</v>
      </c>
      <c r="AD282" s="17">
        <v>2</v>
      </c>
      <c r="AE282" s="17">
        <v>1</v>
      </c>
      <c r="AF282" s="17">
        <v>2</v>
      </c>
      <c r="AG282" s="16">
        <v>1</v>
      </c>
      <c r="AH282" s="16">
        <v>1</v>
      </c>
      <c r="AI282" s="17">
        <v>2</v>
      </c>
      <c r="AJ282" s="16">
        <v>2</v>
      </c>
      <c r="AK282" s="16">
        <v>2</v>
      </c>
      <c r="AL282" s="16">
        <v>3</v>
      </c>
      <c r="AM282" s="16">
        <v>1</v>
      </c>
      <c r="AN282" s="16">
        <v>1</v>
      </c>
      <c r="AO282" s="16">
        <v>2</v>
      </c>
      <c r="AP282" s="17">
        <v>2</v>
      </c>
      <c r="AQ282" s="16">
        <v>2</v>
      </c>
      <c r="AR282" s="17">
        <v>2</v>
      </c>
      <c r="AS282" s="17">
        <v>1</v>
      </c>
      <c r="AT282" s="16">
        <v>1</v>
      </c>
      <c r="AU282" s="17">
        <v>1</v>
      </c>
      <c r="AV282" s="16">
        <v>0</v>
      </c>
      <c r="AW282" s="16">
        <v>0</v>
      </c>
      <c r="AX282" s="16">
        <v>1</v>
      </c>
      <c r="AY282" s="16">
        <v>1</v>
      </c>
      <c r="AZ282" s="16">
        <v>2</v>
      </c>
      <c r="BA282" s="16">
        <v>0</v>
      </c>
      <c r="BB282" s="16">
        <v>2</v>
      </c>
      <c r="BC282" s="17">
        <v>1</v>
      </c>
      <c r="BD282" s="16">
        <v>1</v>
      </c>
      <c r="BE282" s="17">
        <v>1</v>
      </c>
      <c r="BF282" s="17">
        <v>1</v>
      </c>
      <c r="BG282" s="16">
        <v>2</v>
      </c>
      <c r="BH282" s="17">
        <v>2</v>
      </c>
      <c r="BI282" s="16">
        <v>2</v>
      </c>
      <c r="BJ282" s="16">
        <v>0</v>
      </c>
    </row>
    <row r="283" spans="1:62" ht="15.75" customHeight="1" x14ac:dyDescent="0.25">
      <c r="A283" s="62"/>
      <c r="B283" s="18">
        <v>46199</v>
      </c>
      <c r="C283" s="60" t="s">
        <v>65</v>
      </c>
      <c r="D283" s="55">
        <f t="shared" ref="D283:BJ283" si="106">IF($C281="",0,IF(AND(D281=$C281,D282=$C282),5,IF(OR(AND(D281-D282&gt;0,$C281-$C282&gt;0),AND(D282-D281&gt;0,$C282-$C281&gt;0),AND(D281-D282=0,$C281-$C282=0)),2,0)+IF(OR(D281=$C281,D282=$C282),1,0)))</f>
        <v>0</v>
      </c>
      <c r="E283" s="55">
        <f t="shared" si="106"/>
        <v>0</v>
      </c>
      <c r="F283" s="55">
        <f t="shared" si="106"/>
        <v>0</v>
      </c>
      <c r="G283" s="55">
        <f t="shared" si="106"/>
        <v>0</v>
      </c>
      <c r="H283" s="55">
        <f t="shared" si="106"/>
        <v>0</v>
      </c>
      <c r="I283" s="55">
        <f t="shared" si="106"/>
        <v>0</v>
      </c>
      <c r="J283" s="55">
        <f t="shared" si="106"/>
        <v>0</v>
      </c>
      <c r="K283" s="55">
        <f t="shared" si="106"/>
        <v>0</v>
      </c>
      <c r="L283" s="55">
        <f t="shared" si="106"/>
        <v>0</v>
      </c>
      <c r="M283" s="55">
        <f t="shared" si="106"/>
        <v>0</v>
      </c>
      <c r="N283" s="55">
        <f t="shared" si="106"/>
        <v>0</v>
      </c>
      <c r="O283" s="55">
        <f t="shared" si="106"/>
        <v>0</v>
      </c>
      <c r="P283" s="55">
        <f t="shared" si="106"/>
        <v>0</v>
      </c>
      <c r="Q283" s="55">
        <f t="shared" si="106"/>
        <v>0</v>
      </c>
      <c r="R283" s="55">
        <f t="shared" si="106"/>
        <v>0</v>
      </c>
      <c r="S283" s="55">
        <f t="shared" si="106"/>
        <v>0</v>
      </c>
      <c r="T283" s="55">
        <f t="shared" si="106"/>
        <v>0</v>
      </c>
      <c r="U283" s="55">
        <f t="shared" si="106"/>
        <v>0</v>
      </c>
      <c r="V283" s="55">
        <f t="shared" si="106"/>
        <v>0</v>
      </c>
      <c r="W283" s="55">
        <f t="shared" si="106"/>
        <v>0</v>
      </c>
      <c r="X283" s="55">
        <f t="shared" si="106"/>
        <v>0</v>
      </c>
      <c r="Y283" s="55">
        <f t="shared" si="106"/>
        <v>0</v>
      </c>
      <c r="Z283" s="55">
        <f t="shared" si="106"/>
        <v>0</v>
      </c>
      <c r="AA283" s="55">
        <f t="shared" si="106"/>
        <v>0</v>
      </c>
      <c r="AB283" s="55">
        <f t="shared" si="106"/>
        <v>0</v>
      </c>
      <c r="AC283" s="55">
        <f t="shared" si="106"/>
        <v>0</v>
      </c>
      <c r="AD283" s="55">
        <f t="shared" si="106"/>
        <v>0</v>
      </c>
      <c r="AE283" s="55">
        <f t="shared" si="106"/>
        <v>0</v>
      </c>
      <c r="AF283" s="55">
        <f t="shared" si="106"/>
        <v>0</v>
      </c>
      <c r="AG283" s="55">
        <f t="shared" si="106"/>
        <v>0</v>
      </c>
      <c r="AH283" s="55">
        <f t="shared" si="106"/>
        <v>0</v>
      </c>
      <c r="AI283" s="55">
        <f t="shared" si="106"/>
        <v>0</v>
      </c>
      <c r="AJ283" s="55">
        <f t="shared" si="106"/>
        <v>0</v>
      </c>
      <c r="AK283" s="55">
        <f t="shared" si="106"/>
        <v>0</v>
      </c>
      <c r="AL283" s="55">
        <f t="shared" si="106"/>
        <v>0</v>
      </c>
      <c r="AM283" s="55">
        <f t="shared" si="106"/>
        <v>0</v>
      </c>
      <c r="AN283" s="55">
        <f t="shared" si="106"/>
        <v>0</v>
      </c>
      <c r="AO283" s="55">
        <f t="shared" si="106"/>
        <v>0</v>
      </c>
      <c r="AP283" s="55">
        <f t="shared" si="106"/>
        <v>0</v>
      </c>
      <c r="AQ283" s="55">
        <f t="shared" ref="AQ283" si="107">IF($C281="",0,IF(AND(AQ281=$C281,AQ282=$C282),5,IF(OR(AND(AQ281-AQ282&gt;0,$C281-$C282&gt;0),AND(AQ282-AQ281&gt;0,$C282-$C281&gt;0),AND(AQ281-AQ282=0,$C281-$C282=0)),2,0)+IF(OR(AQ281=$C281,AQ282=$C282),1,0)))</f>
        <v>0</v>
      </c>
      <c r="AR283" s="55">
        <f t="shared" si="106"/>
        <v>0</v>
      </c>
      <c r="AS283" s="55">
        <f t="shared" si="106"/>
        <v>0</v>
      </c>
      <c r="AT283" s="55">
        <f t="shared" si="106"/>
        <v>0</v>
      </c>
      <c r="AU283" s="55">
        <f t="shared" si="106"/>
        <v>0</v>
      </c>
      <c r="AV283" s="55">
        <f t="shared" si="106"/>
        <v>0</v>
      </c>
      <c r="AW283" s="55">
        <f t="shared" si="106"/>
        <v>0</v>
      </c>
      <c r="AX283" s="55">
        <f t="shared" si="106"/>
        <v>0</v>
      </c>
      <c r="AY283" s="55">
        <f t="shared" si="106"/>
        <v>0</v>
      </c>
      <c r="AZ283" s="55">
        <f t="shared" si="106"/>
        <v>0</v>
      </c>
      <c r="BA283" s="55">
        <f t="shared" si="106"/>
        <v>0</v>
      </c>
      <c r="BB283" s="55">
        <f t="shared" si="106"/>
        <v>0</v>
      </c>
      <c r="BC283" s="55">
        <f t="shared" si="106"/>
        <v>0</v>
      </c>
      <c r="BD283" s="55">
        <f t="shared" si="106"/>
        <v>0</v>
      </c>
      <c r="BE283" s="55">
        <f t="shared" si="106"/>
        <v>0</v>
      </c>
      <c r="BF283" s="55">
        <f t="shared" si="106"/>
        <v>0</v>
      </c>
      <c r="BG283" s="55">
        <f t="shared" si="106"/>
        <v>0</v>
      </c>
      <c r="BH283" s="55">
        <f t="shared" si="106"/>
        <v>0</v>
      </c>
      <c r="BI283" s="55">
        <f t="shared" si="106"/>
        <v>0</v>
      </c>
      <c r="BJ283" s="55">
        <f t="shared" si="106"/>
        <v>0</v>
      </c>
    </row>
    <row r="284" spans="1:62" ht="15.75" customHeight="1" x14ac:dyDescent="0.25">
      <c r="A284" s="62"/>
      <c r="B284" s="19">
        <v>0.79166666666666663</v>
      </c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</row>
    <row r="285" spans="1:62" ht="15.75" customHeight="1" x14ac:dyDescent="0.25">
      <c r="A285" s="23"/>
    </row>
    <row r="286" spans="1:62" ht="20.25" customHeight="1" x14ac:dyDescent="0.25">
      <c r="A286" s="61">
        <v>66</v>
      </c>
      <c r="B286" s="14" t="s">
        <v>109</v>
      </c>
      <c r="C286" s="15"/>
      <c r="D286" s="16">
        <v>1</v>
      </c>
      <c r="E286" s="16">
        <v>2</v>
      </c>
      <c r="F286" s="16">
        <v>1</v>
      </c>
      <c r="G286" s="17">
        <v>1</v>
      </c>
      <c r="H286" s="16">
        <v>1</v>
      </c>
      <c r="I286" s="16">
        <v>1</v>
      </c>
      <c r="J286" s="16">
        <v>1</v>
      </c>
      <c r="K286" s="16">
        <v>0</v>
      </c>
      <c r="L286" s="16">
        <v>1</v>
      </c>
      <c r="M286" s="16">
        <v>0</v>
      </c>
      <c r="N286" s="16">
        <v>1</v>
      </c>
      <c r="O286" s="16">
        <v>1</v>
      </c>
      <c r="P286" s="16">
        <v>2</v>
      </c>
      <c r="Q286" s="16">
        <v>1</v>
      </c>
      <c r="R286" s="17">
        <v>0</v>
      </c>
      <c r="S286" s="16">
        <v>1</v>
      </c>
      <c r="T286" s="16">
        <v>1</v>
      </c>
      <c r="U286" s="16">
        <v>1</v>
      </c>
      <c r="V286" s="16">
        <v>1</v>
      </c>
      <c r="W286" s="16">
        <v>1</v>
      </c>
      <c r="X286" s="16">
        <v>1</v>
      </c>
      <c r="Y286" s="16">
        <v>1</v>
      </c>
      <c r="Z286" s="16">
        <v>1</v>
      </c>
      <c r="AA286" s="17">
        <v>0</v>
      </c>
      <c r="AB286" s="16">
        <v>1</v>
      </c>
      <c r="AC286" s="16">
        <v>1</v>
      </c>
      <c r="AD286" s="17">
        <v>1</v>
      </c>
      <c r="AE286" s="17">
        <v>1</v>
      </c>
      <c r="AF286" s="17">
        <v>2</v>
      </c>
      <c r="AG286" s="16">
        <v>1</v>
      </c>
      <c r="AH286" s="16">
        <v>1</v>
      </c>
      <c r="AI286" s="17">
        <v>1</v>
      </c>
      <c r="AJ286" s="16">
        <v>2</v>
      </c>
      <c r="AK286" s="16">
        <v>1</v>
      </c>
      <c r="AL286" s="16">
        <v>2</v>
      </c>
      <c r="AM286" s="16">
        <v>1</v>
      </c>
      <c r="AN286" s="16">
        <v>1</v>
      </c>
      <c r="AO286" s="16">
        <v>1</v>
      </c>
      <c r="AP286" s="17">
        <v>1</v>
      </c>
      <c r="AQ286" s="16">
        <v>1</v>
      </c>
      <c r="AR286" s="17">
        <v>1</v>
      </c>
      <c r="AS286" s="17">
        <v>2</v>
      </c>
      <c r="AT286" s="16">
        <v>1</v>
      </c>
      <c r="AU286" s="17">
        <v>1</v>
      </c>
      <c r="AV286" s="16">
        <v>2</v>
      </c>
      <c r="AW286" s="16">
        <v>1</v>
      </c>
      <c r="AX286" s="16">
        <v>2</v>
      </c>
      <c r="AY286" s="16">
        <v>1</v>
      </c>
      <c r="AZ286" s="16">
        <v>1</v>
      </c>
      <c r="BA286" s="16">
        <v>1</v>
      </c>
      <c r="BB286" s="16">
        <v>1</v>
      </c>
      <c r="BC286" s="17">
        <v>1</v>
      </c>
      <c r="BD286" s="16">
        <v>2</v>
      </c>
      <c r="BE286" s="17">
        <v>2</v>
      </c>
      <c r="BF286" s="17">
        <v>1</v>
      </c>
      <c r="BG286" s="16">
        <v>1</v>
      </c>
      <c r="BH286" s="17">
        <v>1</v>
      </c>
      <c r="BI286" s="16">
        <v>1</v>
      </c>
      <c r="BJ286" s="16">
        <v>1</v>
      </c>
    </row>
    <row r="287" spans="1:62" ht="20.25" customHeight="1" x14ac:dyDescent="0.25">
      <c r="A287" s="62"/>
      <c r="B287" s="14" t="s">
        <v>104</v>
      </c>
      <c r="C287" s="15"/>
      <c r="D287" s="16">
        <v>2</v>
      </c>
      <c r="E287" s="16">
        <v>2</v>
      </c>
      <c r="F287" s="16">
        <v>2</v>
      </c>
      <c r="G287" s="17">
        <v>1</v>
      </c>
      <c r="H287" s="16">
        <v>2</v>
      </c>
      <c r="I287" s="16">
        <v>3</v>
      </c>
      <c r="J287" s="16">
        <v>2</v>
      </c>
      <c r="K287" s="16">
        <v>1</v>
      </c>
      <c r="L287" s="16">
        <v>1</v>
      </c>
      <c r="M287" s="16">
        <v>1</v>
      </c>
      <c r="N287" s="16">
        <v>1</v>
      </c>
      <c r="O287" s="16">
        <v>2</v>
      </c>
      <c r="P287" s="16">
        <v>2</v>
      </c>
      <c r="Q287" s="16">
        <v>2</v>
      </c>
      <c r="R287" s="17">
        <v>2</v>
      </c>
      <c r="S287" s="16">
        <v>1</v>
      </c>
      <c r="T287" s="16">
        <v>1</v>
      </c>
      <c r="U287" s="16">
        <v>1</v>
      </c>
      <c r="V287" s="16">
        <v>1</v>
      </c>
      <c r="W287" s="16">
        <v>2</v>
      </c>
      <c r="X287" s="16">
        <v>1</v>
      </c>
      <c r="Y287" s="16">
        <v>2</v>
      </c>
      <c r="Z287" s="16">
        <v>1</v>
      </c>
      <c r="AA287" s="17">
        <v>2</v>
      </c>
      <c r="AB287" s="16">
        <v>2</v>
      </c>
      <c r="AC287" s="16">
        <v>2</v>
      </c>
      <c r="AD287" s="17">
        <v>1</v>
      </c>
      <c r="AE287" s="17">
        <v>2</v>
      </c>
      <c r="AF287" s="17">
        <v>2</v>
      </c>
      <c r="AG287" s="16">
        <v>3</v>
      </c>
      <c r="AH287" s="16">
        <v>2</v>
      </c>
      <c r="AI287" s="17">
        <v>1</v>
      </c>
      <c r="AJ287" s="16">
        <v>2</v>
      </c>
      <c r="AK287" s="16">
        <v>2</v>
      </c>
      <c r="AL287" s="16">
        <v>2</v>
      </c>
      <c r="AM287" s="16">
        <v>2</v>
      </c>
      <c r="AN287" s="16">
        <v>2</v>
      </c>
      <c r="AO287" s="16">
        <v>1</v>
      </c>
      <c r="AP287" s="17">
        <v>3</v>
      </c>
      <c r="AQ287" s="16">
        <v>1</v>
      </c>
      <c r="AR287" s="17">
        <v>2</v>
      </c>
      <c r="AS287" s="17">
        <v>3</v>
      </c>
      <c r="AT287" s="16">
        <v>1</v>
      </c>
      <c r="AU287" s="17">
        <v>1</v>
      </c>
      <c r="AV287" s="16">
        <v>2</v>
      </c>
      <c r="AW287" s="16">
        <v>3</v>
      </c>
      <c r="AX287" s="16">
        <v>3</v>
      </c>
      <c r="AY287" s="16">
        <v>2</v>
      </c>
      <c r="AZ287" s="16">
        <v>2</v>
      </c>
      <c r="BA287" s="16">
        <v>2</v>
      </c>
      <c r="BB287" s="16">
        <v>2</v>
      </c>
      <c r="BC287" s="17">
        <v>2</v>
      </c>
      <c r="BD287" s="16">
        <v>3</v>
      </c>
      <c r="BE287" s="17">
        <v>2</v>
      </c>
      <c r="BF287" s="17">
        <v>3</v>
      </c>
      <c r="BG287" s="16">
        <v>2</v>
      </c>
      <c r="BH287" s="17">
        <v>2</v>
      </c>
      <c r="BI287" s="16">
        <v>1</v>
      </c>
      <c r="BJ287" s="16">
        <v>1</v>
      </c>
    </row>
    <row r="288" spans="1:62" ht="15.75" customHeight="1" x14ac:dyDescent="0.25">
      <c r="A288" s="62"/>
      <c r="B288" s="18">
        <v>46199</v>
      </c>
      <c r="C288" s="60" t="s">
        <v>65</v>
      </c>
      <c r="D288" s="55">
        <f t="shared" ref="D288:BJ288" si="108">IF($C286="",0,IF(AND(D286=$C286,D287=$C287),5,IF(OR(AND(D286-D287&gt;0,$C286-$C287&gt;0),AND(D287-D286&gt;0,$C287-$C286&gt;0),AND(D286-D287=0,$C286-$C287=0)),2,0)+IF(OR(D286=$C286,D287=$C287),1,0)))</f>
        <v>0</v>
      </c>
      <c r="E288" s="55">
        <f t="shared" si="108"/>
        <v>0</v>
      </c>
      <c r="F288" s="55">
        <f t="shared" si="108"/>
        <v>0</v>
      </c>
      <c r="G288" s="55">
        <f t="shared" si="108"/>
        <v>0</v>
      </c>
      <c r="H288" s="55">
        <f t="shared" si="108"/>
        <v>0</v>
      </c>
      <c r="I288" s="55">
        <f t="shared" si="108"/>
        <v>0</v>
      </c>
      <c r="J288" s="55">
        <f t="shared" si="108"/>
        <v>0</v>
      </c>
      <c r="K288" s="55">
        <f t="shared" si="108"/>
        <v>0</v>
      </c>
      <c r="L288" s="55">
        <f t="shared" si="108"/>
        <v>0</v>
      </c>
      <c r="M288" s="55">
        <f t="shared" si="108"/>
        <v>0</v>
      </c>
      <c r="N288" s="55">
        <f t="shared" si="108"/>
        <v>0</v>
      </c>
      <c r="O288" s="55">
        <f t="shared" si="108"/>
        <v>0</v>
      </c>
      <c r="P288" s="55">
        <f t="shared" si="108"/>
        <v>0</v>
      </c>
      <c r="Q288" s="55">
        <f t="shared" si="108"/>
        <v>0</v>
      </c>
      <c r="R288" s="55">
        <f t="shared" si="108"/>
        <v>0</v>
      </c>
      <c r="S288" s="55">
        <f t="shared" si="108"/>
        <v>0</v>
      </c>
      <c r="T288" s="55">
        <f t="shared" si="108"/>
        <v>0</v>
      </c>
      <c r="U288" s="55">
        <f t="shared" si="108"/>
        <v>0</v>
      </c>
      <c r="V288" s="55">
        <f t="shared" si="108"/>
        <v>0</v>
      </c>
      <c r="W288" s="55">
        <f t="shared" si="108"/>
        <v>0</v>
      </c>
      <c r="X288" s="55">
        <f t="shared" si="108"/>
        <v>0</v>
      </c>
      <c r="Y288" s="55">
        <f t="shared" si="108"/>
        <v>0</v>
      </c>
      <c r="Z288" s="55">
        <f t="shared" si="108"/>
        <v>0</v>
      </c>
      <c r="AA288" s="55">
        <f t="shared" si="108"/>
        <v>0</v>
      </c>
      <c r="AB288" s="55">
        <f t="shared" si="108"/>
        <v>0</v>
      </c>
      <c r="AC288" s="55">
        <f t="shared" si="108"/>
        <v>0</v>
      </c>
      <c r="AD288" s="55">
        <f t="shared" si="108"/>
        <v>0</v>
      </c>
      <c r="AE288" s="55">
        <f t="shared" si="108"/>
        <v>0</v>
      </c>
      <c r="AF288" s="55">
        <f t="shared" si="108"/>
        <v>0</v>
      </c>
      <c r="AG288" s="55">
        <f t="shared" si="108"/>
        <v>0</v>
      </c>
      <c r="AH288" s="55">
        <f t="shared" si="108"/>
        <v>0</v>
      </c>
      <c r="AI288" s="55">
        <f t="shared" si="108"/>
        <v>0</v>
      </c>
      <c r="AJ288" s="55">
        <f t="shared" si="108"/>
        <v>0</v>
      </c>
      <c r="AK288" s="55">
        <f t="shared" si="108"/>
        <v>0</v>
      </c>
      <c r="AL288" s="55">
        <f t="shared" si="108"/>
        <v>0</v>
      </c>
      <c r="AM288" s="55">
        <f t="shared" si="108"/>
        <v>0</v>
      </c>
      <c r="AN288" s="55">
        <f t="shared" si="108"/>
        <v>0</v>
      </c>
      <c r="AO288" s="55">
        <f t="shared" si="108"/>
        <v>0</v>
      </c>
      <c r="AP288" s="55">
        <f t="shared" si="108"/>
        <v>0</v>
      </c>
      <c r="AQ288" s="55">
        <f t="shared" ref="AQ288" si="109">IF($C286="",0,IF(AND(AQ286=$C286,AQ287=$C287),5,IF(OR(AND(AQ286-AQ287&gt;0,$C286-$C287&gt;0),AND(AQ287-AQ286&gt;0,$C287-$C286&gt;0),AND(AQ286-AQ287=0,$C286-$C287=0)),2,0)+IF(OR(AQ286=$C286,AQ287=$C287),1,0)))</f>
        <v>0</v>
      </c>
      <c r="AR288" s="55">
        <f t="shared" si="108"/>
        <v>0</v>
      </c>
      <c r="AS288" s="55">
        <f t="shared" si="108"/>
        <v>0</v>
      </c>
      <c r="AT288" s="55">
        <f t="shared" si="108"/>
        <v>0</v>
      </c>
      <c r="AU288" s="55">
        <f t="shared" si="108"/>
        <v>0</v>
      </c>
      <c r="AV288" s="55">
        <f t="shared" si="108"/>
        <v>0</v>
      </c>
      <c r="AW288" s="55">
        <f t="shared" si="108"/>
        <v>0</v>
      </c>
      <c r="AX288" s="55">
        <f t="shared" si="108"/>
        <v>0</v>
      </c>
      <c r="AY288" s="55">
        <f t="shared" si="108"/>
        <v>0</v>
      </c>
      <c r="AZ288" s="55">
        <f t="shared" si="108"/>
        <v>0</v>
      </c>
      <c r="BA288" s="55">
        <f t="shared" si="108"/>
        <v>0</v>
      </c>
      <c r="BB288" s="55">
        <f t="shared" si="108"/>
        <v>0</v>
      </c>
      <c r="BC288" s="55">
        <f t="shared" si="108"/>
        <v>0</v>
      </c>
      <c r="BD288" s="55">
        <f t="shared" si="108"/>
        <v>0</v>
      </c>
      <c r="BE288" s="55">
        <f t="shared" si="108"/>
        <v>0</v>
      </c>
      <c r="BF288" s="55">
        <f t="shared" si="108"/>
        <v>0</v>
      </c>
      <c r="BG288" s="55">
        <f t="shared" si="108"/>
        <v>0</v>
      </c>
      <c r="BH288" s="55">
        <f t="shared" si="108"/>
        <v>0</v>
      </c>
      <c r="BI288" s="55">
        <f t="shared" si="108"/>
        <v>0</v>
      </c>
      <c r="BJ288" s="55">
        <f t="shared" si="108"/>
        <v>0</v>
      </c>
    </row>
    <row r="289" spans="1:62" ht="15.75" customHeight="1" x14ac:dyDescent="0.25">
      <c r="A289" s="62"/>
      <c r="B289" s="19">
        <v>0.79166666666666663</v>
      </c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</row>
    <row r="290" spans="1:62" ht="15.75" customHeight="1" x14ac:dyDescent="0.25"/>
    <row r="291" spans="1:62" ht="15.75" customHeight="1" x14ac:dyDescent="0.25"/>
    <row r="292" spans="1:62" ht="15.75" customHeight="1" x14ac:dyDescent="0.25"/>
    <row r="293" spans="1:62" ht="36" customHeight="1" x14ac:dyDescent="0.25">
      <c r="A293" s="57" t="s">
        <v>110</v>
      </c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9"/>
    </row>
    <row r="294" spans="1:62" ht="15.75" customHeight="1" x14ac:dyDescent="0.25">
      <c r="A294" s="2"/>
      <c r="B294" s="2"/>
      <c r="C294" s="2"/>
      <c r="D294" s="2"/>
      <c r="E294" s="2"/>
      <c r="F294" s="2"/>
      <c r="G294" s="2"/>
      <c r="H294" s="3"/>
      <c r="I294" s="3"/>
      <c r="J294" s="3"/>
    </row>
    <row r="295" spans="1:62" ht="15.75" customHeight="1" x14ac:dyDescent="0.25">
      <c r="A295" s="4"/>
      <c r="B295" s="5"/>
      <c r="C295" s="6"/>
      <c r="D295" s="7">
        <v>1</v>
      </c>
      <c r="E295" s="7">
        <v>2</v>
      </c>
      <c r="F295" s="7">
        <v>3</v>
      </c>
      <c r="G295" s="7">
        <v>4</v>
      </c>
      <c r="H295" s="7">
        <v>5</v>
      </c>
      <c r="I295" s="7">
        <v>6</v>
      </c>
      <c r="J295" s="7">
        <v>7</v>
      </c>
      <c r="K295" s="7">
        <v>8</v>
      </c>
      <c r="L295" s="7">
        <v>9</v>
      </c>
      <c r="M295" s="7">
        <v>10</v>
      </c>
      <c r="N295" s="7">
        <v>11</v>
      </c>
      <c r="O295" s="7">
        <v>13</v>
      </c>
      <c r="P295" s="7">
        <v>14</v>
      </c>
      <c r="Q295" s="7">
        <v>15</v>
      </c>
      <c r="R295" s="7">
        <v>16</v>
      </c>
      <c r="S295" s="7">
        <v>17</v>
      </c>
      <c r="T295" s="7">
        <v>18</v>
      </c>
      <c r="U295" s="7">
        <v>19</v>
      </c>
      <c r="V295" s="7">
        <v>20</v>
      </c>
      <c r="W295" s="7">
        <v>21</v>
      </c>
      <c r="X295" s="7">
        <v>22</v>
      </c>
      <c r="Y295" s="7">
        <v>24</v>
      </c>
      <c r="Z295" s="7">
        <v>25</v>
      </c>
      <c r="AA295" s="7">
        <v>26</v>
      </c>
      <c r="AB295" s="7">
        <v>27</v>
      </c>
      <c r="AC295" s="7">
        <v>29</v>
      </c>
      <c r="AD295" s="7">
        <v>30</v>
      </c>
      <c r="AE295" s="7">
        <v>32</v>
      </c>
      <c r="AF295" s="7">
        <v>33</v>
      </c>
      <c r="AG295" s="7">
        <v>34</v>
      </c>
      <c r="AH295" s="7">
        <v>35</v>
      </c>
      <c r="AI295" s="7">
        <v>36</v>
      </c>
      <c r="AJ295" s="7">
        <v>37</v>
      </c>
      <c r="AK295" s="7">
        <v>38</v>
      </c>
      <c r="AL295" s="7">
        <v>39</v>
      </c>
      <c r="AM295" s="7">
        <v>40</v>
      </c>
      <c r="AN295" s="7">
        <v>41</v>
      </c>
      <c r="AO295" s="7">
        <v>42</v>
      </c>
      <c r="AP295" s="7">
        <v>44</v>
      </c>
      <c r="AQ295" s="7">
        <v>67</v>
      </c>
      <c r="AR295" s="7">
        <v>48</v>
      </c>
      <c r="AS295" s="7">
        <v>49</v>
      </c>
      <c r="AT295" s="7">
        <v>51</v>
      </c>
      <c r="AU295" s="7">
        <v>52</v>
      </c>
      <c r="AV295" s="7">
        <v>53</v>
      </c>
      <c r="AW295" s="7">
        <v>54</v>
      </c>
      <c r="AX295" s="7">
        <v>55</v>
      </c>
      <c r="AY295" s="7">
        <v>56</v>
      </c>
      <c r="AZ295" s="7">
        <v>57</v>
      </c>
      <c r="BA295" s="7">
        <v>58</v>
      </c>
      <c r="BB295" s="7">
        <v>59</v>
      </c>
      <c r="BC295" s="7">
        <v>60</v>
      </c>
      <c r="BD295" s="7">
        <v>61</v>
      </c>
      <c r="BE295" s="7">
        <v>62</v>
      </c>
      <c r="BF295" s="7">
        <v>63</v>
      </c>
      <c r="BG295" s="7">
        <v>64</v>
      </c>
      <c r="BH295" s="7">
        <v>65</v>
      </c>
      <c r="BI295" s="7">
        <v>66</v>
      </c>
      <c r="BJ295" s="7">
        <v>67</v>
      </c>
    </row>
    <row r="296" spans="1:62" ht="182.25" customHeight="1" x14ac:dyDescent="0.25">
      <c r="A296" s="8"/>
      <c r="B296" s="9" t="s">
        <v>3</v>
      </c>
      <c r="C296" s="10" t="s">
        <v>4</v>
      </c>
      <c r="D296" s="11" t="str">
        <f t="shared" ref="D296:BJ296" si="110">D8</f>
        <v>Julian Uribe</v>
      </c>
      <c r="E296" s="11" t="str">
        <f t="shared" si="110"/>
        <v>Yulian Sanchez</v>
      </c>
      <c r="F296" s="11" t="str">
        <f t="shared" si="110"/>
        <v>Francisco Moreno</v>
      </c>
      <c r="G296" s="11" t="str">
        <f t="shared" si="110"/>
        <v>Mauricio Guerrero</v>
      </c>
      <c r="H296" s="11" t="str">
        <f t="shared" si="110"/>
        <v>Gustavo Guerrero</v>
      </c>
      <c r="I296" s="11" t="str">
        <f t="shared" si="110"/>
        <v>Gerardo Martinez</v>
      </c>
      <c r="J296" s="11" t="str">
        <f t="shared" si="110"/>
        <v>Nora Perez</v>
      </c>
      <c r="K296" s="11" t="str">
        <f t="shared" si="110"/>
        <v>Laura Rodriguez</v>
      </c>
      <c r="L296" s="11" t="str">
        <f t="shared" si="110"/>
        <v>Jhoana Moreno</v>
      </c>
      <c r="M296" s="11" t="str">
        <f t="shared" si="110"/>
        <v xml:space="preserve">Yoselin Salinas </v>
      </c>
      <c r="N296" s="11" t="str">
        <f t="shared" si="110"/>
        <v>Luis Diaz</v>
      </c>
      <c r="O296" s="11" t="str">
        <f t="shared" si="110"/>
        <v>Diela del Carmen</v>
      </c>
      <c r="P296" s="11" t="str">
        <f t="shared" si="110"/>
        <v>Paola Agredo</v>
      </c>
      <c r="Q296" s="11" t="str">
        <f t="shared" si="110"/>
        <v>Oscar Suarez</v>
      </c>
      <c r="R296" s="11" t="str">
        <f t="shared" si="110"/>
        <v>Paulo Figueroa</v>
      </c>
      <c r="S296" s="11" t="str">
        <f t="shared" si="110"/>
        <v xml:space="preserve">Jean Piere </v>
      </c>
      <c r="T296" s="11" t="str">
        <f t="shared" si="110"/>
        <v>David Diaz</v>
      </c>
      <c r="U296" s="11" t="str">
        <f t="shared" si="110"/>
        <v xml:space="preserve">Christian Giraldo </v>
      </c>
      <c r="V296" s="11" t="str">
        <f t="shared" si="110"/>
        <v>Viviana Hurtado</v>
      </c>
      <c r="W296" s="11" t="str">
        <f t="shared" si="110"/>
        <v>James Chavez Ocampo</v>
      </c>
      <c r="X296" s="11" t="str">
        <f t="shared" si="110"/>
        <v>Luis Felipe Sanchez</v>
      </c>
      <c r="Y296" s="11" t="str">
        <f t="shared" si="110"/>
        <v>Laura Ossa</v>
      </c>
      <c r="Z296" s="11" t="str">
        <f t="shared" si="110"/>
        <v>Elizabeth Montealegre</v>
      </c>
      <c r="AA296" s="11" t="str">
        <f t="shared" si="110"/>
        <v>Liliana Montealegre</v>
      </c>
      <c r="AB296" s="11" t="str">
        <f t="shared" si="110"/>
        <v>Javier Andres Gomez</v>
      </c>
      <c r="AC296" s="11" t="str">
        <f t="shared" si="110"/>
        <v>Diana Carolina Marin</v>
      </c>
      <c r="AD296" s="11" t="str">
        <f t="shared" si="110"/>
        <v>Diego Fernando Saavedra</v>
      </c>
      <c r="AE296" s="11" t="str">
        <f t="shared" si="110"/>
        <v>Oscar Mayor</v>
      </c>
      <c r="AF296" s="11" t="str">
        <f t="shared" si="110"/>
        <v>Ingrid Toro</v>
      </c>
      <c r="AG296" s="11" t="str">
        <f t="shared" si="110"/>
        <v>Ana Marcela Castro</v>
      </c>
      <c r="AH296" s="11" t="str">
        <f t="shared" si="110"/>
        <v>Ricardo Gutierrez</v>
      </c>
      <c r="AI296" s="11" t="str">
        <f t="shared" si="110"/>
        <v>Natalia Navarro</v>
      </c>
      <c r="AJ296" s="11" t="str">
        <f t="shared" si="110"/>
        <v>Diana Perez</v>
      </c>
      <c r="AK296" s="11" t="str">
        <f t="shared" si="110"/>
        <v>Sergio Diaz</v>
      </c>
      <c r="AL296" s="11" t="str">
        <f t="shared" si="110"/>
        <v>William Oviedo</v>
      </c>
      <c r="AM296" s="11" t="str">
        <f t="shared" si="110"/>
        <v>Armando Orjuela</v>
      </c>
      <c r="AN296" s="11" t="str">
        <f t="shared" si="110"/>
        <v xml:space="preserve">Helen Muñoz </v>
      </c>
      <c r="AO296" s="11" t="str">
        <f t="shared" si="110"/>
        <v>Julieth Cruz - Luiz Diaz</v>
      </c>
      <c r="AP296" s="11" t="str">
        <f t="shared" si="110"/>
        <v>Jose Luis Montoya</v>
      </c>
      <c r="AQ296" s="11" t="str">
        <f t="shared" ref="AQ296" si="111">AQ8</f>
        <v>Julian Useche</v>
      </c>
      <c r="AR296" s="11" t="str">
        <f t="shared" si="110"/>
        <v>Sebastian Posada</v>
      </c>
      <c r="AS296" s="11" t="str">
        <f t="shared" si="110"/>
        <v>Juan Cifuentes</v>
      </c>
      <c r="AT296" s="11" t="str">
        <f t="shared" si="110"/>
        <v>Rodrigo Dominguez</v>
      </c>
      <c r="AU296" s="11" t="str">
        <f t="shared" si="110"/>
        <v xml:space="preserve">Carlos Calero </v>
      </c>
      <c r="AV296" s="11" t="str">
        <f t="shared" si="110"/>
        <v>Lewhis Spirth Montaño</v>
      </c>
      <c r="AW296" s="11" t="str">
        <f t="shared" si="110"/>
        <v>Sebastian Castro Luna</v>
      </c>
      <c r="AX296" s="11" t="str">
        <f t="shared" si="110"/>
        <v>Francia Orozco</v>
      </c>
      <c r="AY296" s="11" t="str">
        <f t="shared" si="110"/>
        <v>Fredy Rojas</v>
      </c>
      <c r="AZ296" s="11" t="str">
        <f t="shared" si="110"/>
        <v>John Quiñonez</v>
      </c>
      <c r="BA296" s="11" t="str">
        <f t="shared" si="110"/>
        <v>Yuli Guzman</v>
      </c>
      <c r="BB296" s="11" t="str">
        <f t="shared" si="110"/>
        <v>Luis Alfredo Plaza</v>
      </c>
      <c r="BC296" s="11" t="str">
        <f t="shared" si="110"/>
        <v>Naty Bermudez</v>
      </c>
      <c r="BD296" s="11" t="str">
        <f t="shared" si="110"/>
        <v>Edgar Ivan Giraldo Duran</v>
      </c>
      <c r="BE296" s="11" t="str">
        <f t="shared" si="110"/>
        <v>Caterine Filigrana</v>
      </c>
      <c r="BF296" s="11" t="str">
        <f t="shared" si="110"/>
        <v>Adriana Belalcazar</v>
      </c>
      <c r="BG296" s="11" t="str">
        <f t="shared" si="110"/>
        <v>Angelisa Hurtado</v>
      </c>
      <c r="BH296" s="11" t="str">
        <f t="shared" si="110"/>
        <v>Isabela Muñoz</v>
      </c>
      <c r="BI296" s="11" t="str">
        <f t="shared" si="110"/>
        <v>Francisco Moreno Alvarez</v>
      </c>
      <c r="BJ296" s="11" t="str">
        <f t="shared" si="110"/>
        <v>Angelica Maria Panesso</v>
      </c>
    </row>
    <row r="297" spans="1:62" ht="21" customHeight="1" x14ac:dyDescent="0.25">
      <c r="A297" s="61">
        <v>17</v>
      </c>
      <c r="B297" s="14" t="s">
        <v>111</v>
      </c>
      <c r="C297" s="15"/>
      <c r="D297" s="16">
        <v>2</v>
      </c>
      <c r="E297" s="16">
        <v>4</v>
      </c>
      <c r="F297" s="16">
        <v>3</v>
      </c>
      <c r="G297" s="17">
        <v>1</v>
      </c>
      <c r="H297" s="16">
        <v>2</v>
      </c>
      <c r="I297" s="16">
        <v>2</v>
      </c>
      <c r="J297" s="16">
        <v>3</v>
      </c>
      <c r="K297" s="16">
        <v>2</v>
      </c>
      <c r="L297" s="16">
        <v>2</v>
      </c>
      <c r="M297" s="16">
        <v>2</v>
      </c>
      <c r="N297" s="16">
        <v>3</v>
      </c>
      <c r="O297" s="16">
        <v>3</v>
      </c>
      <c r="P297" s="16">
        <v>2</v>
      </c>
      <c r="Q297" s="16">
        <v>3</v>
      </c>
      <c r="R297" s="17">
        <v>2</v>
      </c>
      <c r="S297" s="16">
        <v>2</v>
      </c>
      <c r="T297" s="16">
        <v>2</v>
      </c>
      <c r="U297" s="16">
        <v>4</v>
      </c>
      <c r="V297" s="16">
        <v>2</v>
      </c>
      <c r="W297" s="16">
        <v>3</v>
      </c>
      <c r="X297" s="16">
        <v>2</v>
      </c>
      <c r="Y297" s="16">
        <v>2</v>
      </c>
      <c r="Z297" s="16">
        <v>3</v>
      </c>
      <c r="AA297" s="17">
        <v>0</v>
      </c>
      <c r="AB297" s="16">
        <v>2</v>
      </c>
      <c r="AC297" s="16">
        <v>2</v>
      </c>
      <c r="AD297" s="17">
        <v>3</v>
      </c>
      <c r="AE297" s="17">
        <v>2</v>
      </c>
      <c r="AF297" s="17">
        <v>2</v>
      </c>
      <c r="AG297" s="16">
        <v>2</v>
      </c>
      <c r="AH297" s="16">
        <v>2</v>
      </c>
      <c r="AI297" s="17">
        <v>3</v>
      </c>
      <c r="AJ297" s="16">
        <v>4</v>
      </c>
      <c r="AK297" s="16">
        <v>3</v>
      </c>
      <c r="AL297" s="16">
        <v>4</v>
      </c>
      <c r="AM297" s="16">
        <v>2</v>
      </c>
      <c r="AN297" s="16">
        <v>2</v>
      </c>
      <c r="AO297" s="16">
        <v>3</v>
      </c>
      <c r="AP297" s="17">
        <v>4</v>
      </c>
      <c r="AQ297" s="16">
        <v>2</v>
      </c>
      <c r="AR297" s="17">
        <v>3</v>
      </c>
      <c r="AS297" s="17">
        <v>2</v>
      </c>
      <c r="AT297" s="16">
        <v>2</v>
      </c>
      <c r="AU297" s="17">
        <v>2</v>
      </c>
      <c r="AV297" s="16">
        <v>2</v>
      </c>
      <c r="AW297" s="16">
        <v>2</v>
      </c>
      <c r="AX297" s="16">
        <v>2</v>
      </c>
      <c r="AY297" s="16">
        <v>2</v>
      </c>
      <c r="AZ297" s="16">
        <v>2</v>
      </c>
      <c r="BA297" s="16">
        <v>3</v>
      </c>
      <c r="BB297" s="16">
        <v>2</v>
      </c>
      <c r="BC297" s="17">
        <v>2</v>
      </c>
      <c r="BD297" s="16">
        <v>2</v>
      </c>
      <c r="BE297" s="17">
        <v>3</v>
      </c>
      <c r="BF297" s="17">
        <v>2</v>
      </c>
      <c r="BG297" s="16">
        <v>3</v>
      </c>
      <c r="BH297" s="17">
        <v>2</v>
      </c>
      <c r="BI297" s="16">
        <v>6</v>
      </c>
      <c r="BJ297" s="16">
        <v>2</v>
      </c>
    </row>
    <row r="298" spans="1:62" ht="22.5" customHeight="1" x14ac:dyDescent="0.25">
      <c r="A298" s="62"/>
      <c r="B298" s="14" t="s">
        <v>112</v>
      </c>
      <c r="C298" s="15"/>
      <c r="D298" s="16">
        <v>1</v>
      </c>
      <c r="E298" s="16">
        <v>1</v>
      </c>
      <c r="F298" s="16">
        <v>0</v>
      </c>
      <c r="G298" s="17">
        <v>1</v>
      </c>
      <c r="H298" s="16">
        <v>1</v>
      </c>
      <c r="I298" s="16">
        <v>0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0</v>
      </c>
      <c r="R298" s="17">
        <v>0</v>
      </c>
      <c r="S298" s="16">
        <v>1</v>
      </c>
      <c r="T298" s="16">
        <v>1</v>
      </c>
      <c r="U298" s="16">
        <v>0</v>
      </c>
      <c r="V298" s="16">
        <v>1</v>
      </c>
      <c r="W298" s="16">
        <v>1</v>
      </c>
      <c r="X298" s="16">
        <v>1</v>
      </c>
      <c r="Y298" s="16">
        <v>1</v>
      </c>
      <c r="Z298" s="16">
        <v>1</v>
      </c>
      <c r="AA298" s="17">
        <v>0</v>
      </c>
      <c r="AB298" s="16">
        <v>1</v>
      </c>
      <c r="AC298" s="16">
        <v>1</v>
      </c>
      <c r="AD298" s="17">
        <v>1</v>
      </c>
      <c r="AE298" s="17">
        <v>0</v>
      </c>
      <c r="AF298" s="17">
        <v>0</v>
      </c>
      <c r="AG298" s="16">
        <v>1</v>
      </c>
      <c r="AH298" s="16">
        <v>0</v>
      </c>
      <c r="AI298" s="17">
        <v>1</v>
      </c>
      <c r="AJ298" s="16">
        <v>0</v>
      </c>
      <c r="AK298" s="16">
        <v>1</v>
      </c>
      <c r="AL298" s="16">
        <v>2</v>
      </c>
      <c r="AM298" s="16">
        <v>1</v>
      </c>
      <c r="AN298" s="16">
        <v>1</v>
      </c>
      <c r="AO298" s="16">
        <v>0</v>
      </c>
      <c r="AP298" s="17">
        <v>1</v>
      </c>
      <c r="AQ298" s="16">
        <v>0</v>
      </c>
      <c r="AR298" s="17">
        <v>1</v>
      </c>
      <c r="AS298" s="17">
        <v>0</v>
      </c>
      <c r="AT298" s="16">
        <v>1</v>
      </c>
      <c r="AU298" s="17">
        <v>1</v>
      </c>
      <c r="AV298" s="16">
        <v>1</v>
      </c>
      <c r="AW298" s="16">
        <v>0</v>
      </c>
      <c r="AX298" s="16">
        <v>1</v>
      </c>
      <c r="AY298" s="16">
        <v>0</v>
      </c>
      <c r="AZ298" s="16">
        <v>0</v>
      </c>
      <c r="BA298" s="16">
        <v>0</v>
      </c>
      <c r="BB298" s="16">
        <v>0</v>
      </c>
      <c r="BC298" s="17">
        <v>1</v>
      </c>
      <c r="BD298" s="16">
        <v>1</v>
      </c>
      <c r="BE298" s="17">
        <v>0</v>
      </c>
      <c r="BF298" s="17">
        <v>0</v>
      </c>
      <c r="BG298" s="16">
        <v>1</v>
      </c>
      <c r="BH298" s="17">
        <v>0</v>
      </c>
      <c r="BI298" s="16">
        <v>1</v>
      </c>
      <c r="BJ298" s="16">
        <v>2</v>
      </c>
    </row>
    <row r="299" spans="1:62" ht="15.75" customHeight="1" x14ac:dyDescent="0.25">
      <c r="A299" s="62"/>
      <c r="B299" s="18">
        <v>46189</v>
      </c>
      <c r="C299" s="60" t="s">
        <v>65</v>
      </c>
      <c r="D299" s="55">
        <f t="shared" ref="D299:BJ299" si="112">IF($C297="",0,IF(AND(D297=$C297,D298=$C298),5,IF(OR(AND(D297-D298&gt;0,$C297-$C298&gt;0),AND(D298-D297&gt;0,$C298-$C297&gt;0),AND(D297-D298=0,$C297-$C298=0)),2,0)+IF(OR(D297=$C297,D298=$C298),1,0)))</f>
        <v>0</v>
      </c>
      <c r="E299" s="55">
        <f t="shared" si="112"/>
        <v>0</v>
      </c>
      <c r="F299" s="55">
        <f t="shared" si="112"/>
        <v>0</v>
      </c>
      <c r="G299" s="55">
        <f t="shared" si="112"/>
        <v>0</v>
      </c>
      <c r="H299" s="55">
        <f t="shared" si="112"/>
        <v>0</v>
      </c>
      <c r="I299" s="55">
        <f t="shared" si="112"/>
        <v>0</v>
      </c>
      <c r="J299" s="55">
        <f t="shared" si="112"/>
        <v>0</v>
      </c>
      <c r="K299" s="55">
        <f t="shared" si="112"/>
        <v>0</v>
      </c>
      <c r="L299" s="55">
        <f t="shared" si="112"/>
        <v>0</v>
      </c>
      <c r="M299" s="55">
        <f t="shared" si="112"/>
        <v>0</v>
      </c>
      <c r="N299" s="55">
        <f t="shared" si="112"/>
        <v>0</v>
      </c>
      <c r="O299" s="55">
        <f t="shared" si="112"/>
        <v>0</v>
      </c>
      <c r="P299" s="55">
        <f t="shared" si="112"/>
        <v>0</v>
      </c>
      <c r="Q299" s="55">
        <f t="shared" si="112"/>
        <v>0</v>
      </c>
      <c r="R299" s="55">
        <f t="shared" si="112"/>
        <v>0</v>
      </c>
      <c r="S299" s="55">
        <f t="shared" si="112"/>
        <v>0</v>
      </c>
      <c r="T299" s="55">
        <f t="shared" si="112"/>
        <v>0</v>
      </c>
      <c r="U299" s="55">
        <f t="shared" si="112"/>
        <v>0</v>
      </c>
      <c r="V299" s="55">
        <f t="shared" si="112"/>
        <v>0</v>
      </c>
      <c r="W299" s="55">
        <f t="shared" si="112"/>
        <v>0</v>
      </c>
      <c r="X299" s="55">
        <f t="shared" si="112"/>
        <v>0</v>
      </c>
      <c r="Y299" s="55">
        <f t="shared" si="112"/>
        <v>0</v>
      </c>
      <c r="Z299" s="55">
        <f t="shared" si="112"/>
        <v>0</v>
      </c>
      <c r="AA299" s="55">
        <f t="shared" si="112"/>
        <v>0</v>
      </c>
      <c r="AB299" s="55">
        <f t="shared" si="112"/>
        <v>0</v>
      </c>
      <c r="AC299" s="55">
        <f t="shared" si="112"/>
        <v>0</v>
      </c>
      <c r="AD299" s="55">
        <f t="shared" si="112"/>
        <v>0</v>
      </c>
      <c r="AE299" s="55">
        <f t="shared" si="112"/>
        <v>0</v>
      </c>
      <c r="AF299" s="55">
        <f t="shared" si="112"/>
        <v>0</v>
      </c>
      <c r="AG299" s="55">
        <f t="shared" si="112"/>
        <v>0</v>
      </c>
      <c r="AH299" s="55">
        <f t="shared" si="112"/>
        <v>0</v>
      </c>
      <c r="AI299" s="55">
        <f t="shared" si="112"/>
        <v>0</v>
      </c>
      <c r="AJ299" s="55">
        <f t="shared" si="112"/>
        <v>0</v>
      </c>
      <c r="AK299" s="55">
        <f t="shared" si="112"/>
        <v>0</v>
      </c>
      <c r="AL299" s="55">
        <f t="shared" si="112"/>
        <v>0</v>
      </c>
      <c r="AM299" s="55">
        <f t="shared" si="112"/>
        <v>0</v>
      </c>
      <c r="AN299" s="55">
        <f t="shared" si="112"/>
        <v>0</v>
      </c>
      <c r="AO299" s="55">
        <f t="shared" si="112"/>
        <v>0</v>
      </c>
      <c r="AP299" s="55">
        <f t="shared" si="112"/>
        <v>0</v>
      </c>
      <c r="AQ299" s="55">
        <f t="shared" ref="AQ299" si="113">IF($C297="",0,IF(AND(AQ297=$C297,AQ298=$C298),5,IF(OR(AND(AQ297-AQ298&gt;0,$C297-$C298&gt;0),AND(AQ298-AQ297&gt;0,$C298-$C297&gt;0),AND(AQ297-AQ298=0,$C297-$C298=0)),2,0)+IF(OR(AQ297=$C297,AQ298=$C298),1,0)))</f>
        <v>0</v>
      </c>
      <c r="AR299" s="55">
        <f t="shared" si="112"/>
        <v>0</v>
      </c>
      <c r="AS299" s="55">
        <f t="shared" si="112"/>
        <v>0</v>
      </c>
      <c r="AT299" s="55">
        <f t="shared" si="112"/>
        <v>0</v>
      </c>
      <c r="AU299" s="55">
        <f t="shared" si="112"/>
        <v>0</v>
      </c>
      <c r="AV299" s="55">
        <f t="shared" si="112"/>
        <v>0</v>
      </c>
      <c r="AW299" s="55">
        <f t="shared" si="112"/>
        <v>0</v>
      </c>
      <c r="AX299" s="55">
        <f t="shared" si="112"/>
        <v>0</v>
      </c>
      <c r="AY299" s="55">
        <f t="shared" si="112"/>
        <v>0</v>
      </c>
      <c r="AZ299" s="55">
        <f t="shared" si="112"/>
        <v>0</v>
      </c>
      <c r="BA299" s="55">
        <f t="shared" si="112"/>
        <v>0</v>
      </c>
      <c r="BB299" s="55">
        <f t="shared" si="112"/>
        <v>0</v>
      </c>
      <c r="BC299" s="55">
        <f t="shared" si="112"/>
        <v>0</v>
      </c>
      <c r="BD299" s="55">
        <f t="shared" si="112"/>
        <v>0</v>
      </c>
      <c r="BE299" s="55">
        <f t="shared" si="112"/>
        <v>0</v>
      </c>
      <c r="BF299" s="55">
        <f t="shared" si="112"/>
        <v>0</v>
      </c>
      <c r="BG299" s="55">
        <f t="shared" si="112"/>
        <v>0</v>
      </c>
      <c r="BH299" s="55">
        <f t="shared" si="112"/>
        <v>0</v>
      </c>
      <c r="BI299" s="55">
        <f t="shared" si="112"/>
        <v>0</v>
      </c>
      <c r="BJ299" s="55">
        <f t="shared" si="112"/>
        <v>0</v>
      </c>
    </row>
    <row r="300" spans="1:62" ht="15.75" customHeight="1" x14ac:dyDescent="0.25">
      <c r="A300" s="62"/>
      <c r="B300" s="19">
        <v>0.58333333333333337</v>
      </c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</row>
    <row r="301" spans="1:62" ht="15.75" customHeight="1" x14ac:dyDescent="0.25">
      <c r="A301" s="13"/>
      <c r="B301" s="13"/>
      <c r="C301" s="13"/>
      <c r="D301" s="2"/>
      <c r="E301" s="2"/>
      <c r="F301" s="2"/>
      <c r="G301" s="2"/>
      <c r="H301" s="3"/>
      <c r="I301" s="3"/>
      <c r="J301" s="3"/>
    </row>
    <row r="302" spans="1:62" ht="22.5" customHeight="1" x14ac:dyDescent="0.25">
      <c r="A302" s="61">
        <v>18</v>
      </c>
      <c r="B302" s="14" t="s">
        <v>113</v>
      </c>
      <c r="C302" s="15"/>
      <c r="D302" s="16">
        <v>0</v>
      </c>
      <c r="E302" s="16">
        <v>1</v>
      </c>
      <c r="F302" s="16">
        <v>1</v>
      </c>
      <c r="G302" s="17">
        <v>0</v>
      </c>
      <c r="H302" s="16">
        <v>0</v>
      </c>
      <c r="I302" s="16">
        <v>1</v>
      </c>
      <c r="J302" s="16">
        <v>0</v>
      </c>
      <c r="K302" s="16">
        <v>1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2</v>
      </c>
      <c r="R302" s="17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1</v>
      </c>
      <c r="X302" s="16">
        <v>0</v>
      </c>
      <c r="Y302" s="16">
        <v>0</v>
      </c>
      <c r="Z302" s="16">
        <v>0</v>
      </c>
      <c r="AA302" s="17">
        <v>0</v>
      </c>
      <c r="AB302" s="16">
        <v>0</v>
      </c>
      <c r="AC302" s="16">
        <v>0</v>
      </c>
      <c r="AD302" s="17">
        <v>0</v>
      </c>
      <c r="AE302" s="17">
        <v>0</v>
      </c>
      <c r="AF302" s="17">
        <v>0</v>
      </c>
      <c r="AG302" s="16">
        <v>0</v>
      </c>
      <c r="AH302" s="16">
        <v>0</v>
      </c>
      <c r="AI302" s="17">
        <v>0</v>
      </c>
      <c r="AJ302" s="16">
        <v>0</v>
      </c>
      <c r="AK302" s="16">
        <v>0</v>
      </c>
      <c r="AL302" s="16">
        <v>0</v>
      </c>
      <c r="AM302" s="16">
        <v>1</v>
      </c>
      <c r="AN302" s="16">
        <v>1</v>
      </c>
      <c r="AO302" s="16">
        <v>0</v>
      </c>
      <c r="AP302" s="17">
        <v>0</v>
      </c>
      <c r="AQ302" s="16">
        <v>0</v>
      </c>
      <c r="AR302" s="17">
        <v>0</v>
      </c>
      <c r="AS302" s="17">
        <v>0</v>
      </c>
      <c r="AT302" s="16">
        <v>1</v>
      </c>
      <c r="AU302" s="17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1</v>
      </c>
      <c r="BC302" s="17">
        <v>0</v>
      </c>
      <c r="BD302" s="16">
        <v>0</v>
      </c>
      <c r="BE302" s="17">
        <v>0</v>
      </c>
      <c r="BF302" s="17">
        <v>1</v>
      </c>
      <c r="BG302" s="16">
        <v>1</v>
      </c>
      <c r="BH302" s="17">
        <v>0</v>
      </c>
      <c r="BI302" s="16">
        <v>1</v>
      </c>
      <c r="BJ302" s="16">
        <v>0</v>
      </c>
    </row>
    <row r="303" spans="1:62" ht="21" customHeight="1" x14ac:dyDescent="0.25">
      <c r="A303" s="62"/>
      <c r="B303" s="14" t="s">
        <v>114</v>
      </c>
      <c r="C303" s="15"/>
      <c r="D303" s="16">
        <v>2</v>
      </c>
      <c r="E303" s="16">
        <v>2</v>
      </c>
      <c r="F303" s="16">
        <v>2</v>
      </c>
      <c r="G303" s="17">
        <v>2</v>
      </c>
      <c r="H303" s="16">
        <v>2</v>
      </c>
      <c r="I303" s="16">
        <v>2</v>
      </c>
      <c r="J303" s="16">
        <v>2</v>
      </c>
      <c r="K303" s="16">
        <v>3</v>
      </c>
      <c r="L303" s="16">
        <v>2</v>
      </c>
      <c r="M303" s="16">
        <v>2</v>
      </c>
      <c r="N303" s="16">
        <v>3</v>
      </c>
      <c r="O303" s="16">
        <v>2</v>
      </c>
      <c r="P303" s="16">
        <v>2</v>
      </c>
      <c r="Q303" s="16">
        <v>4</v>
      </c>
      <c r="R303" s="17">
        <v>2</v>
      </c>
      <c r="S303" s="16">
        <v>1</v>
      </c>
      <c r="T303" s="16">
        <v>2</v>
      </c>
      <c r="U303" s="16">
        <v>3</v>
      </c>
      <c r="V303" s="16">
        <v>2</v>
      </c>
      <c r="W303" s="16">
        <v>2</v>
      </c>
      <c r="X303" s="16">
        <v>2</v>
      </c>
      <c r="Y303" s="16">
        <v>2</v>
      </c>
      <c r="Z303" s="16">
        <v>2</v>
      </c>
      <c r="AA303" s="17">
        <v>2</v>
      </c>
      <c r="AB303" s="16">
        <v>2</v>
      </c>
      <c r="AC303" s="16">
        <v>2</v>
      </c>
      <c r="AD303" s="17">
        <v>4</v>
      </c>
      <c r="AE303" s="17">
        <v>2</v>
      </c>
      <c r="AF303" s="17">
        <v>2</v>
      </c>
      <c r="AG303" s="16">
        <v>2</v>
      </c>
      <c r="AH303" s="16">
        <v>2</v>
      </c>
      <c r="AI303" s="17">
        <v>4</v>
      </c>
      <c r="AJ303" s="16">
        <v>3</v>
      </c>
      <c r="AK303" s="16">
        <v>3</v>
      </c>
      <c r="AL303" s="16">
        <v>2</v>
      </c>
      <c r="AM303" s="16">
        <v>3</v>
      </c>
      <c r="AN303" s="16">
        <v>2</v>
      </c>
      <c r="AO303" s="16">
        <v>4</v>
      </c>
      <c r="AP303" s="17">
        <v>2</v>
      </c>
      <c r="AQ303" s="16">
        <v>1</v>
      </c>
      <c r="AR303" s="17">
        <v>2</v>
      </c>
      <c r="AS303" s="17">
        <v>2</v>
      </c>
      <c r="AT303" s="16">
        <v>2</v>
      </c>
      <c r="AU303" s="17">
        <v>2</v>
      </c>
      <c r="AV303" s="16">
        <v>2</v>
      </c>
      <c r="AW303" s="16">
        <v>2</v>
      </c>
      <c r="AX303" s="16">
        <v>2</v>
      </c>
      <c r="AY303" s="16">
        <v>2</v>
      </c>
      <c r="AZ303" s="16">
        <v>0</v>
      </c>
      <c r="BA303" s="16">
        <v>2</v>
      </c>
      <c r="BB303" s="16">
        <v>1</v>
      </c>
      <c r="BC303" s="17">
        <v>2</v>
      </c>
      <c r="BD303" s="16">
        <v>2</v>
      </c>
      <c r="BE303" s="17">
        <v>1</v>
      </c>
      <c r="BF303" s="17">
        <v>2</v>
      </c>
      <c r="BG303" s="16">
        <v>2</v>
      </c>
      <c r="BH303" s="17">
        <v>3</v>
      </c>
      <c r="BI303" s="16">
        <v>3</v>
      </c>
      <c r="BJ303" s="16">
        <v>1</v>
      </c>
    </row>
    <row r="304" spans="1:62" ht="15.75" customHeight="1" x14ac:dyDescent="0.25">
      <c r="A304" s="62"/>
      <c r="B304" s="18">
        <v>46189</v>
      </c>
      <c r="C304" s="60" t="s">
        <v>65</v>
      </c>
      <c r="D304" s="55">
        <f t="shared" ref="D304:BJ304" si="114">IF($C302="",0,IF(AND(D302=$C302,D303=$C303),5,IF(OR(AND(D302-D303&gt;0,$C302-$C303&gt;0),AND(D303-D302&gt;0,$C303-$C302&gt;0),AND(D302-D303=0,$C302-$C303=0)),2,0)+IF(OR(D302=$C302,D303=$C303),1,0)))</f>
        <v>0</v>
      </c>
      <c r="E304" s="55">
        <f t="shared" si="114"/>
        <v>0</v>
      </c>
      <c r="F304" s="55">
        <f t="shared" si="114"/>
        <v>0</v>
      </c>
      <c r="G304" s="55">
        <f t="shared" si="114"/>
        <v>0</v>
      </c>
      <c r="H304" s="55">
        <f t="shared" si="114"/>
        <v>0</v>
      </c>
      <c r="I304" s="55">
        <f t="shared" si="114"/>
        <v>0</v>
      </c>
      <c r="J304" s="55">
        <f t="shared" si="114"/>
        <v>0</v>
      </c>
      <c r="K304" s="55">
        <f t="shared" si="114"/>
        <v>0</v>
      </c>
      <c r="L304" s="55">
        <f t="shared" si="114"/>
        <v>0</v>
      </c>
      <c r="M304" s="55">
        <f t="shared" si="114"/>
        <v>0</v>
      </c>
      <c r="N304" s="55">
        <f t="shared" si="114"/>
        <v>0</v>
      </c>
      <c r="O304" s="55">
        <f t="shared" si="114"/>
        <v>0</v>
      </c>
      <c r="P304" s="55">
        <f t="shared" si="114"/>
        <v>0</v>
      </c>
      <c r="Q304" s="55">
        <f t="shared" si="114"/>
        <v>0</v>
      </c>
      <c r="R304" s="55">
        <f t="shared" si="114"/>
        <v>0</v>
      </c>
      <c r="S304" s="55">
        <f t="shared" si="114"/>
        <v>0</v>
      </c>
      <c r="T304" s="55">
        <f t="shared" si="114"/>
        <v>0</v>
      </c>
      <c r="U304" s="55">
        <f t="shared" si="114"/>
        <v>0</v>
      </c>
      <c r="V304" s="55">
        <f t="shared" si="114"/>
        <v>0</v>
      </c>
      <c r="W304" s="55">
        <f t="shared" si="114"/>
        <v>0</v>
      </c>
      <c r="X304" s="55">
        <f t="shared" si="114"/>
        <v>0</v>
      </c>
      <c r="Y304" s="55">
        <f t="shared" si="114"/>
        <v>0</v>
      </c>
      <c r="Z304" s="55">
        <f t="shared" si="114"/>
        <v>0</v>
      </c>
      <c r="AA304" s="55">
        <f t="shared" si="114"/>
        <v>0</v>
      </c>
      <c r="AB304" s="55">
        <f t="shared" si="114"/>
        <v>0</v>
      </c>
      <c r="AC304" s="55">
        <f t="shared" si="114"/>
        <v>0</v>
      </c>
      <c r="AD304" s="55">
        <f t="shared" si="114"/>
        <v>0</v>
      </c>
      <c r="AE304" s="55">
        <f t="shared" si="114"/>
        <v>0</v>
      </c>
      <c r="AF304" s="55">
        <f t="shared" si="114"/>
        <v>0</v>
      </c>
      <c r="AG304" s="55">
        <f t="shared" si="114"/>
        <v>0</v>
      </c>
      <c r="AH304" s="55">
        <f t="shared" si="114"/>
        <v>0</v>
      </c>
      <c r="AI304" s="55">
        <f t="shared" si="114"/>
        <v>0</v>
      </c>
      <c r="AJ304" s="55">
        <f t="shared" si="114"/>
        <v>0</v>
      </c>
      <c r="AK304" s="55">
        <f t="shared" si="114"/>
        <v>0</v>
      </c>
      <c r="AL304" s="55">
        <f t="shared" si="114"/>
        <v>0</v>
      </c>
      <c r="AM304" s="55">
        <f t="shared" si="114"/>
        <v>0</v>
      </c>
      <c r="AN304" s="55">
        <f t="shared" si="114"/>
        <v>0</v>
      </c>
      <c r="AO304" s="55">
        <f t="shared" si="114"/>
        <v>0</v>
      </c>
      <c r="AP304" s="55">
        <f t="shared" si="114"/>
        <v>0</v>
      </c>
      <c r="AQ304" s="55">
        <f t="shared" ref="AQ304" si="115">IF($C302="",0,IF(AND(AQ302=$C302,AQ303=$C303),5,IF(OR(AND(AQ302-AQ303&gt;0,$C302-$C303&gt;0),AND(AQ303-AQ302&gt;0,$C303-$C302&gt;0),AND(AQ302-AQ303=0,$C302-$C303=0)),2,0)+IF(OR(AQ302=$C302,AQ303=$C303),1,0)))</f>
        <v>0</v>
      </c>
      <c r="AR304" s="55">
        <f t="shared" si="114"/>
        <v>0</v>
      </c>
      <c r="AS304" s="55">
        <f t="shared" si="114"/>
        <v>0</v>
      </c>
      <c r="AT304" s="55">
        <f t="shared" si="114"/>
        <v>0</v>
      </c>
      <c r="AU304" s="55">
        <f t="shared" si="114"/>
        <v>0</v>
      </c>
      <c r="AV304" s="55">
        <f t="shared" si="114"/>
        <v>0</v>
      </c>
      <c r="AW304" s="55">
        <f t="shared" si="114"/>
        <v>0</v>
      </c>
      <c r="AX304" s="55">
        <f t="shared" si="114"/>
        <v>0</v>
      </c>
      <c r="AY304" s="55">
        <f t="shared" si="114"/>
        <v>0</v>
      </c>
      <c r="AZ304" s="55">
        <f t="shared" si="114"/>
        <v>0</v>
      </c>
      <c r="BA304" s="55">
        <f t="shared" si="114"/>
        <v>0</v>
      </c>
      <c r="BB304" s="55">
        <f t="shared" si="114"/>
        <v>0</v>
      </c>
      <c r="BC304" s="55">
        <f t="shared" si="114"/>
        <v>0</v>
      </c>
      <c r="BD304" s="55">
        <f t="shared" si="114"/>
        <v>0</v>
      </c>
      <c r="BE304" s="55">
        <f t="shared" si="114"/>
        <v>0</v>
      </c>
      <c r="BF304" s="55">
        <f t="shared" si="114"/>
        <v>0</v>
      </c>
      <c r="BG304" s="55">
        <f t="shared" si="114"/>
        <v>0</v>
      </c>
      <c r="BH304" s="55">
        <f t="shared" si="114"/>
        <v>0</v>
      </c>
      <c r="BI304" s="55">
        <f t="shared" si="114"/>
        <v>0</v>
      </c>
      <c r="BJ304" s="55">
        <f t="shared" si="114"/>
        <v>0</v>
      </c>
    </row>
    <row r="305" spans="1:62" ht="15.75" customHeight="1" x14ac:dyDescent="0.25">
      <c r="A305" s="62"/>
      <c r="B305" s="19">
        <v>0.70833333333333337</v>
      </c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</row>
    <row r="306" spans="1:62" ht="15.75" customHeight="1" x14ac:dyDescent="0.25">
      <c r="A306" s="13"/>
      <c r="B306" s="13"/>
      <c r="C306" s="20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</row>
    <row r="307" spans="1:62" ht="22.5" customHeight="1" x14ac:dyDescent="0.25">
      <c r="A307" s="61">
        <v>42</v>
      </c>
      <c r="B307" s="14" t="s">
        <v>111</v>
      </c>
      <c r="C307" s="15"/>
      <c r="D307" s="16">
        <v>3</v>
      </c>
      <c r="E307" s="16">
        <v>3</v>
      </c>
      <c r="F307" s="16">
        <v>4</v>
      </c>
      <c r="G307" s="17">
        <v>4</v>
      </c>
      <c r="H307" s="16">
        <v>3</v>
      </c>
      <c r="I307" s="16">
        <v>3</v>
      </c>
      <c r="J307" s="16">
        <v>3</v>
      </c>
      <c r="K307" s="16">
        <v>3</v>
      </c>
      <c r="L307" s="16">
        <v>3</v>
      </c>
      <c r="M307" s="16">
        <v>3</v>
      </c>
      <c r="N307" s="16">
        <v>4</v>
      </c>
      <c r="O307" s="16">
        <v>4</v>
      </c>
      <c r="P307" s="16">
        <v>2</v>
      </c>
      <c r="Q307" s="16">
        <v>5</v>
      </c>
      <c r="R307" s="17">
        <v>3</v>
      </c>
      <c r="S307" s="16">
        <v>2</v>
      </c>
      <c r="T307" s="16">
        <v>3</v>
      </c>
      <c r="U307" s="16">
        <v>3</v>
      </c>
      <c r="V307" s="16">
        <v>3</v>
      </c>
      <c r="W307" s="16">
        <v>5</v>
      </c>
      <c r="X307" s="16">
        <v>3</v>
      </c>
      <c r="Y307" s="16">
        <v>3</v>
      </c>
      <c r="Z307" s="16">
        <v>2</v>
      </c>
      <c r="AA307" s="17">
        <v>3</v>
      </c>
      <c r="AB307" s="16">
        <v>3</v>
      </c>
      <c r="AC307" s="16">
        <v>2</v>
      </c>
      <c r="AD307" s="17">
        <v>4</v>
      </c>
      <c r="AE307" s="17">
        <v>3</v>
      </c>
      <c r="AF307" s="17">
        <v>3</v>
      </c>
      <c r="AG307" s="16">
        <v>3</v>
      </c>
      <c r="AH307" s="16">
        <v>3</v>
      </c>
      <c r="AI307" s="17">
        <v>4</v>
      </c>
      <c r="AJ307" s="16">
        <v>3</v>
      </c>
      <c r="AK307" s="16">
        <v>4</v>
      </c>
      <c r="AL307" s="16">
        <v>3</v>
      </c>
      <c r="AM307" s="16">
        <v>2</v>
      </c>
      <c r="AN307" s="16">
        <v>3</v>
      </c>
      <c r="AO307" s="16">
        <v>5</v>
      </c>
      <c r="AP307" s="17">
        <v>3</v>
      </c>
      <c r="AQ307" s="16">
        <v>3</v>
      </c>
      <c r="AR307" s="17">
        <v>3</v>
      </c>
      <c r="AS307" s="17">
        <v>3</v>
      </c>
      <c r="AT307" s="16">
        <v>2</v>
      </c>
      <c r="AU307" s="17">
        <v>3</v>
      </c>
      <c r="AV307" s="16">
        <v>3</v>
      </c>
      <c r="AW307" s="16">
        <v>3</v>
      </c>
      <c r="AX307" s="16">
        <v>3</v>
      </c>
      <c r="AY307" s="16">
        <v>3</v>
      </c>
      <c r="AZ307" s="16">
        <v>3</v>
      </c>
      <c r="BA307" s="16">
        <v>3</v>
      </c>
      <c r="BB307" s="16">
        <v>1</v>
      </c>
      <c r="BC307" s="17">
        <v>2</v>
      </c>
      <c r="BD307" s="16">
        <v>4</v>
      </c>
      <c r="BE307" s="17">
        <v>3</v>
      </c>
      <c r="BF307" s="17">
        <v>3</v>
      </c>
      <c r="BG307" s="16">
        <v>2</v>
      </c>
      <c r="BH307" s="17">
        <v>4</v>
      </c>
      <c r="BI307" s="16">
        <v>4</v>
      </c>
      <c r="BJ307" s="16">
        <v>2</v>
      </c>
    </row>
    <row r="308" spans="1:62" ht="21" customHeight="1" x14ac:dyDescent="0.25">
      <c r="A308" s="62"/>
      <c r="B308" s="14" t="s">
        <v>113</v>
      </c>
      <c r="C308" s="15"/>
      <c r="D308" s="16">
        <v>0</v>
      </c>
      <c r="E308" s="16">
        <v>0</v>
      </c>
      <c r="F308" s="16">
        <v>0</v>
      </c>
      <c r="G308" s="17">
        <v>0</v>
      </c>
      <c r="H308" s="16">
        <v>0</v>
      </c>
      <c r="I308" s="16">
        <v>1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7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7">
        <v>0</v>
      </c>
      <c r="AB308" s="16">
        <v>0</v>
      </c>
      <c r="AC308" s="16">
        <v>0</v>
      </c>
      <c r="AD308" s="17">
        <v>0</v>
      </c>
      <c r="AE308" s="17">
        <v>0</v>
      </c>
      <c r="AF308" s="17">
        <v>0</v>
      </c>
      <c r="AG308" s="16">
        <v>0</v>
      </c>
      <c r="AH308" s="16">
        <v>0</v>
      </c>
      <c r="AI308" s="17">
        <v>0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7">
        <v>0</v>
      </c>
      <c r="AQ308" s="16">
        <v>1</v>
      </c>
      <c r="AR308" s="17">
        <v>0</v>
      </c>
      <c r="AS308" s="17">
        <v>0</v>
      </c>
      <c r="AT308" s="16">
        <v>0</v>
      </c>
      <c r="AU308" s="17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1</v>
      </c>
      <c r="BA308" s="16">
        <v>1</v>
      </c>
      <c r="BB308" s="16">
        <v>0</v>
      </c>
      <c r="BC308" s="17">
        <v>0</v>
      </c>
      <c r="BD308" s="16">
        <v>0</v>
      </c>
      <c r="BE308" s="17">
        <v>0</v>
      </c>
      <c r="BF308" s="17">
        <v>0</v>
      </c>
      <c r="BG308" s="16">
        <v>0</v>
      </c>
      <c r="BH308" s="17">
        <v>0</v>
      </c>
      <c r="BI308" s="16">
        <v>1</v>
      </c>
      <c r="BJ308" s="16">
        <v>0</v>
      </c>
    </row>
    <row r="309" spans="1:62" ht="15.75" customHeight="1" x14ac:dyDescent="0.25">
      <c r="A309" s="62"/>
      <c r="B309" s="18">
        <v>46195</v>
      </c>
      <c r="C309" s="60" t="s">
        <v>65</v>
      </c>
      <c r="D309" s="55">
        <f t="shared" ref="D309:BJ309" si="116">IF($C307="",0,IF(AND(D307=$C307,D308=$C308),5,IF(OR(AND(D307-D308&gt;0,$C307-$C308&gt;0),AND(D308-D307&gt;0,$C308-$C307&gt;0),AND(D307-D308=0,$C307-$C308=0)),2,0)+IF(OR(D307=$C307,D308=$C308),1,0)))</f>
        <v>0</v>
      </c>
      <c r="E309" s="55">
        <f t="shared" si="116"/>
        <v>0</v>
      </c>
      <c r="F309" s="55">
        <f t="shared" si="116"/>
        <v>0</v>
      </c>
      <c r="G309" s="55">
        <f t="shared" si="116"/>
        <v>0</v>
      </c>
      <c r="H309" s="55">
        <f t="shared" si="116"/>
        <v>0</v>
      </c>
      <c r="I309" s="55">
        <f t="shared" si="116"/>
        <v>0</v>
      </c>
      <c r="J309" s="55">
        <f t="shared" si="116"/>
        <v>0</v>
      </c>
      <c r="K309" s="55">
        <f t="shared" si="116"/>
        <v>0</v>
      </c>
      <c r="L309" s="55">
        <f t="shared" si="116"/>
        <v>0</v>
      </c>
      <c r="M309" s="55">
        <f t="shared" si="116"/>
        <v>0</v>
      </c>
      <c r="N309" s="55">
        <f t="shared" si="116"/>
        <v>0</v>
      </c>
      <c r="O309" s="55">
        <f t="shared" si="116"/>
        <v>0</v>
      </c>
      <c r="P309" s="55">
        <f t="shared" si="116"/>
        <v>0</v>
      </c>
      <c r="Q309" s="55">
        <f t="shared" si="116"/>
        <v>0</v>
      </c>
      <c r="R309" s="55">
        <f t="shared" si="116"/>
        <v>0</v>
      </c>
      <c r="S309" s="55">
        <f t="shared" si="116"/>
        <v>0</v>
      </c>
      <c r="T309" s="55">
        <f t="shared" si="116"/>
        <v>0</v>
      </c>
      <c r="U309" s="55">
        <f t="shared" si="116"/>
        <v>0</v>
      </c>
      <c r="V309" s="55">
        <f t="shared" si="116"/>
        <v>0</v>
      </c>
      <c r="W309" s="55">
        <f t="shared" si="116"/>
        <v>0</v>
      </c>
      <c r="X309" s="55">
        <f t="shared" si="116"/>
        <v>0</v>
      </c>
      <c r="Y309" s="55">
        <f t="shared" si="116"/>
        <v>0</v>
      </c>
      <c r="Z309" s="55">
        <f t="shared" si="116"/>
        <v>0</v>
      </c>
      <c r="AA309" s="55">
        <f t="shared" si="116"/>
        <v>0</v>
      </c>
      <c r="AB309" s="55">
        <f t="shared" si="116"/>
        <v>0</v>
      </c>
      <c r="AC309" s="55">
        <f t="shared" si="116"/>
        <v>0</v>
      </c>
      <c r="AD309" s="55">
        <f t="shared" si="116"/>
        <v>0</v>
      </c>
      <c r="AE309" s="55">
        <f t="shared" si="116"/>
        <v>0</v>
      </c>
      <c r="AF309" s="55">
        <f t="shared" si="116"/>
        <v>0</v>
      </c>
      <c r="AG309" s="55">
        <f t="shared" si="116"/>
        <v>0</v>
      </c>
      <c r="AH309" s="55">
        <f t="shared" si="116"/>
        <v>0</v>
      </c>
      <c r="AI309" s="55">
        <f t="shared" si="116"/>
        <v>0</v>
      </c>
      <c r="AJ309" s="55">
        <f t="shared" si="116"/>
        <v>0</v>
      </c>
      <c r="AK309" s="55">
        <f t="shared" si="116"/>
        <v>0</v>
      </c>
      <c r="AL309" s="55">
        <f t="shared" si="116"/>
        <v>0</v>
      </c>
      <c r="AM309" s="55">
        <f t="shared" si="116"/>
        <v>0</v>
      </c>
      <c r="AN309" s="55">
        <f t="shared" si="116"/>
        <v>0</v>
      </c>
      <c r="AO309" s="55">
        <f t="shared" si="116"/>
        <v>0</v>
      </c>
      <c r="AP309" s="55">
        <f t="shared" si="116"/>
        <v>0</v>
      </c>
      <c r="AQ309" s="55">
        <f t="shared" ref="AQ309" si="117">IF($C307="",0,IF(AND(AQ307=$C307,AQ308=$C308),5,IF(OR(AND(AQ307-AQ308&gt;0,$C307-$C308&gt;0),AND(AQ308-AQ307&gt;0,$C308-$C307&gt;0),AND(AQ307-AQ308=0,$C307-$C308=0)),2,0)+IF(OR(AQ307=$C307,AQ308=$C308),1,0)))</f>
        <v>0</v>
      </c>
      <c r="AR309" s="55">
        <f t="shared" si="116"/>
        <v>0</v>
      </c>
      <c r="AS309" s="55">
        <f t="shared" si="116"/>
        <v>0</v>
      </c>
      <c r="AT309" s="55">
        <f t="shared" si="116"/>
        <v>0</v>
      </c>
      <c r="AU309" s="55">
        <f t="shared" si="116"/>
        <v>0</v>
      </c>
      <c r="AV309" s="55">
        <f t="shared" si="116"/>
        <v>0</v>
      </c>
      <c r="AW309" s="55">
        <f t="shared" si="116"/>
        <v>0</v>
      </c>
      <c r="AX309" s="55">
        <f t="shared" si="116"/>
        <v>0</v>
      </c>
      <c r="AY309" s="55">
        <f t="shared" si="116"/>
        <v>0</v>
      </c>
      <c r="AZ309" s="55">
        <f t="shared" si="116"/>
        <v>0</v>
      </c>
      <c r="BA309" s="55">
        <f t="shared" si="116"/>
        <v>0</v>
      </c>
      <c r="BB309" s="55">
        <f t="shared" si="116"/>
        <v>0</v>
      </c>
      <c r="BC309" s="55">
        <f t="shared" si="116"/>
        <v>0</v>
      </c>
      <c r="BD309" s="55">
        <f t="shared" si="116"/>
        <v>0</v>
      </c>
      <c r="BE309" s="55">
        <f t="shared" si="116"/>
        <v>0</v>
      </c>
      <c r="BF309" s="55">
        <f t="shared" si="116"/>
        <v>0</v>
      </c>
      <c r="BG309" s="55">
        <f t="shared" si="116"/>
        <v>0</v>
      </c>
      <c r="BH309" s="55">
        <f t="shared" si="116"/>
        <v>0</v>
      </c>
      <c r="BI309" s="55">
        <f t="shared" si="116"/>
        <v>0</v>
      </c>
      <c r="BJ309" s="55">
        <f t="shared" si="116"/>
        <v>0</v>
      </c>
    </row>
    <row r="310" spans="1:62" ht="15.75" customHeight="1" x14ac:dyDescent="0.25">
      <c r="A310" s="62"/>
      <c r="B310" s="19">
        <v>0.66666666666666663</v>
      </c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</row>
    <row r="311" spans="1:62" ht="15.75" customHeight="1" x14ac:dyDescent="0.25">
      <c r="A311" s="13"/>
      <c r="B311" s="13"/>
      <c r="C311" s="20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</row>
    <row r="312" spans="1:62" ht="23.25" customHeight="1" x14ac:dyDescent="0.25">
      <c r="A312" s="61">
        <v>41</v>
      </c>
      <c r="B312" s="14" t="s">
        <v>114</v>
      </c>
      <c r="C312" s="15"/>
      <c r="D312" s="16">
        <v>1</v>
      </c>
      <c r="E312" s="16">
        <v>2</v>
      </c>
      <c r="F312" s="16">
        <v>2</v>
      </c>
      <c r="G312" s="17">
        <v>1</v>
      </c>
      <c r="H312" s="16">
        <v>1</v>
      </c>
      <c r="I312" s="16">
        <v>2</v>
      </c>
      <c r="J312" s="16">
        <v>1</v>
      </c>
      <c r="K312" s="16">
        <v>2</v>
      </c>
      <c r="L312" s="16">
        <v>1</v>
      </c>
      <c r="M312" s="16">
        <v>1</v>
      </c>
      <c r="N312" s="16">
        <v>1</v>
      </c>
      <c r="O312" s="16">
        <v>2</v>
      </c>
      <c r="P312" s="16">
        <v>1</v>
      </c>
      <c r="Q312" s="16">
        <v>2</v>
      </c>
      <c r="R312" s="17">
        <v>1</v>
      </c>
      <c r="S312" s="16">
        <v>1</v>
      </c>
      <c r="T312" s="16">
        <v>1</v>
      </c>
      <c r="U312" s="16">
        <v>1</v>
      </c>
      <c r="V312" s="16">
        <v>1</v>
      </c>
      <c r="W312" s="16">
        <v>1</v>
      </c>
      <c r="X312" s="16">
        <v>1</v>
      </c>
      <c r="Y312" s="16">
        <v>1</v>
      </c>
      <c r="Z312" s="16">
        <v>1</v>
      </c>
      <c r="AA312" s="17">
        <v>2</v>
      </c>
      <c r="AB312" s="16">
        <v>1</v>
      </c>
      <c r="AC312" s="16">
        <v>1</v>
      </c>
      <c r="AD312" s="17">
        <v>2</v>
      </c>
      <c r="AE312" s="17">
        <v>1</v>
      </c>
      <c r="AF312" s="17">
        <v>2</v>
      </c>
      <c r="AG312" s="16">
        <v>2</v>
      </c>
      <c r="AH312" s="16">
        <v>1</v>
      </c>
      <c r="AI312" s="17">
        <v>1</v>
      </c>
      <c r="AJ312" s="16">
        <v>2</v>
      </c>
      <c r="AK312" s="16">
        <v>1</v>
      </c>
      <c r="AL312" s="16">
        <v>4</v>
      </c>
      <c r="AM312" s="16">
        <v>3</v>
      </c>
      <c r="AN312" s="16">
        <v>1</v>
      </c>
      <c r="AO312" s="16">
        <v>1</v>
      </c>
      <c r="AP312" s="17">
        <v>2</v>
      </c>
      <c r="AQ312" s="16">
        <v>1</v>
      </c>
      <c r="AR312" s="17">
        <v>2</v>
      </c>
      <c r="AS312" s="17">
        <v>2</v>
      </c>
      <c r="AT312" s="16">
        <v>2</v>
      </c>
      <c r="AU312" s="17">
        <v>1</v>
      </c>
      <c r="AV312" s="16">
        <v>2</v>
      </c>
      <c r="AW312" s="16">
        <v>2</v>
      </c>
      <c r="AX312" s="16">
        <v>1</v>
      </c>
      <c r="AY312" s="16">
        <v>1</v>
      </c>
      <c r="AZ312" s="16">
        <v>0</v>
      </c>
      <c r="BA312" s="16">
        <v>2</v>
      </c>
      <c r="BB312" s="16">
        <v>0</v>
      </c>
      <c r="BC312" s="17">
        <v>1</v>
      </c>
      <c r="BD312" s="16">
        <v>1</v>
      </c>
      <c r="BE312" s="17">
        <v>1</v>
      </c>
      <c r="BF312" s="17">
        <v>2</v>
      </c>
      <c r="BG312" s="16">
        <v>1</v>
      </c>
      <c r="BH312" s="17">
        <v>2</v>
      </c>
      <c r="BI312" s="16">
        <v>3</v>
      </c>
      <c r="BJ312" s="16">
        <v>0</v>
      </c>
    </row>
    <row r="313" spans="1:62" ht="21" customHeight="1" x14ac:dyDescent="0.25">
      <c r="A313" s="62"/>
      <c r="B313" s="14" t="s">
        <v>112</v>
      </c>
      <c r="C313" s="15"/>
      <c r="D313" s="16">
        <v>1</v>
      </c>
      <c r="E313" s="16">
        <v>2</v>
      </c>
      <c r="F313" s="16">
        <v>1</v>
      </c>
      <c r="G313" s="17">
        <v>2</v>
      </c>
      <c r="H313" s="16">
        <v>1</v>
      </c>
      <c r="I313" s="16">
        <v>0</v>
      </c>
      <c r="J313" s="16">
        <v>2</v>
      </c>
      <c r="K313" s="16">
        <v>2</v>
      </c>
      <c r="L313" s="16">
        <v>1</v>
      </c>
      <c r="M313" s="16">
        <v>0</v>
      </c>
      <c r="N313" s="16">
        <v>2</v>
      </c>
      <c r="O313" s="16">
        <v>1</v>
      </c>
      <c r="P313" s="16">
        <v>1</v>
      </c>
      <c r="Q313" s="16">
        <v>1</v>
      </c>
      <c r="R313" s="17">
        <v>1</v>
      </c>
      <c r="S313" s="16">
        <v>1</v>
      </c>
      <c r="T313" s="16">
        <v>2</v>
      </c>
      <c r="U313" s="16">
        <v>1</v>
      </c>
      <c r="V313" s="16">
        <v>1</v>
      </c>
      <c r="W313" s="16">
        <v>2</v>
      </c>
      <c r="X313" s="16">
        <v>2</v>
      </c>
      <c r="Y313" s="16">
        <v>1</v>
      </c>
      <c r="Z313" s="16">
        <v>1</v>
      </c>
      <c r="AA313" s="17">
        <v>2</v>
      </c>
      <c r="AB313" s="16">
        <v>2</v>
      </c>
      <c r="AC313" s="16">
        <v>1</v>
      </c>
      <c r="AD313" s="17">
        <v>1</v>
      </c>
      <c r="AE313" s="17">
        <v>1</v>
      </c>
      <c r="AF313" s="17">
        <v>2</v>
      </c>
      <c r="AG313" s="16">
        <v>2</v>
      </c>
      <c r="AH313" s="16">
        <v>1</v>
      </c>
      <c r="AI313" s="17">
        <v>1</v>
      </c>
      <c r="AJ313" s="16">
        <v>1</v>
      </c>
      <c r="AK313" s="16">
        <v>0</v>
      </c>
      <c r="AL313" s="16">
        <v>1</v>
      </c>
      <c r="AM313" s="16">
        <v>1</v>
      </c>
      <c r="AN313" s="16">
        <v>1</v>
      </c>
      <c r="AO313" s="16">
        <v>1</v>
      </c>
      <c r="AP313" s="17">
        <v>2</v>
      </c>
      <c r="AQ313" s="16">
        <v>1</v>
      </c>
      <c r="AR313" s="17">
        <v>1</v>
      </c>
      <c r="AS313" s="17">
        <v>1</v>
      </c>
      <c r="AT313" s="16">
        <v>1</v>
      </c>
      <c r="AU313" s="17">
        <v>0</v>
      </c>
      <c r="AV313" s="16">
        <v>1</v>
      </c>
      <c r="AW313" s="16">
        <v>1</v>
      </c>
      <c r="AX313" s="16">
        <v>2</v>
      </c>
      <c r="AY313" s="16">
        <v>1</v>
      </c>
      <c r="AZ313" s="16">
        <v>1</v>
      </c>
      <c r="BA313" s="16">
        <v>1</v>
      </c>
      <c r="BB313" s="16">
        <v>2</v>
      </c>
      <c r="BC313" s="17">
        <v>1</v>
      </c>
      <c r="BD313" s="16">
        <v>1</v>
      </c>
      <c r="BE313" s="17">
        <v>2</v>
      </c>
      <c r="BF313" s="17">
        <v>1</v>
      </c>
      <c r="BG313" s="16">
        <v>2</v>
      </c>
      <c r="BH313" s="17">
        <v>1</v>
      </c>
      <c r="BI313" s="16">
        <v>0</v>
      </c>
      <c r="BJ313" s="16">
        <v>1</v>
      </c>
    </row>
    <row r="314" spans="1:62" ht="15.75" customHeight="1" x14ac:dyDescent="0.25">
      <c r="A314" s="62"/>
      <c r="B314" s="18">
        <v>46195</v>
      </c>
      <c r="C314" s="60" t="s">
        <v>65</v>
      </c>
      <c r="D314" s="55">
        <f t="shared" ref="D314:BJ314" si="118">IF($C312="",0,IF(AND(D312=$C312,D313=$C313),5,IF(OR(AND(D312-D313&gt;0,$C312-$C313&gt;0),AND(D313-D312&gt;0,$C313-$C312&gt;0),AND(D312-D313=0,$C312-$C313=0)),2,0)+IF(OR(D312=$C312,D313=$C313),1,0)))</f>
        <v>0</v>
      </c>
      <c r="E314" s="55">
        <f t="shared" si="118"/>
        <v>0</v>
      </c>
      <c r="F314" s="55">
        <f t="shared" si="118"/>
        <v>0</v>
      </c>
      <c r="G314" s="55">
        <f t="shared" si="118"/>
        <v>0</v>
      </c>
      <c r="H314" s="55">
        <f t="shared" si="118"/>
        <v>0</v>
      </c>
      <c r="I314" s="55">
        <f t="shared" si="118"/>
        <v>0</v>
      </c>
      <c r="J314" s="55">
        <f t="shared" si="118"/>
        <v>0</v>
      </c>
      <c r="K314" s="55">
        <f t="shared" si="118"/>
        <v>0</v>
      </c>
      <c r="L314" s="55">
        <f t="shared" si="118"/>
        <v>0</v>
      </c>
      <c r="M314" s="55">
        <f t="shared" si="118"/>
        <v>0</v>
      </c>
      <c r="N314" s="55">
        <f t="shared" si="118"/>
        <v>0</v>
      </c>
      <c r="O314" s="55">
        <f t="shared" si="118"/>
        <v>0</v>
      </c>
      <c r="P314" s="55">
        <f t="shared" si="118"/>
        <v>0</v>
      </c>
      <c r="Q314" s="55">
        <f t="shared" si="118"/>
        <v>0</v>
      </c>
      <c r="R314" s="55">
        <f t="shared" si="118"/>
        <v>0</v>
      </c>
      <c r="S314" s="55">
        <f t="shared" si="118"/>
        <v>0</v>
      </c>
      <c r="T314" s="55">
        <f t="shared" si="118"/>
        <v>0</v>
      </c>
      <c r="U314" s="55">
        <f t="shared" si="118"/>
        <v>0</v>
      </c>
      <c r="V314" s="55">
        <f t="shared" si="118"/>
        <v>0</v>
      </c>
      <c r="W314" s="55">
        <f t="shared" si="118"/>
        <v>0</v>
      </c>
      <c r="X314" s="55">
        <f t="shared" si="118"/>
        <v>0</v>
      </c>
      <c r="Y314" s="55">
        <f t="shared" si="118"/>
        <v>0</v>
      </c>
      <c r="Z314" s="55">
        <f t="shared" si="118"/>
        <v>0</v>
      </c>
      <c r="AA314" s="55">
        <f t="shared" si="118"/>
        <v>0</v>
      </c>
      <c r="AB314" s="55">
        <f t="shared" si="118"/>
        <v>0</v>
      </c>
      <c r="AC314" s="55">
        <f t="shared" si="118"/>
        <v>0</v>
      </c>
      <c r="AD314" s="55">
        <f t="shared" si="118"/>
        <v>0</v>
      </c>
      <c r="AE314" s="55">
        <f t="shared" si="118"/>
        <v>0</v>
      </c>
      <c r="AF314" s="55">
        <f t="shared" si="118"/>
        <v>0</v>
      </c>
      <c r="AG314" s="55">
        <f t="shared" si="118"/>
        <v>0</v>
      </c>
      <c r="AH314" s="55">
        <f t="shared" si="118"/>
        <v>0</v>
      </c>
      <c r="AI314" s="55">
        <f t="shared" si="118"/>
        <v>0</v>
      </c>
      <c r="AJ314" s="55">
        <f t="shared" si="118"/>
        <v>0</v>
      </c>
      <c r="AK314" s="55">
        <f t="shared" si="118"/>
        <v>0</v>
      </c>
      <c r="AL314" s="55">
        <f t="shared" si="118"/>
        <v>0</v>
      </c>
      <c r="AM314" s="55">
        <f t="shared" si="118"/>
        <v>0</v>
      </c>
      <c r="AN314" s="55">
        <f t="shared" si="118"/>
        <v>0</v>
      </c>
      <c r="AO314" s="55">
        <f t="shared" si="118"/>
        <v>0</v>
      </c>
      <c r="AP314" s="55">
        <f t="shared" si="118"/>
        <v>0</v>
      </c>
      <c r="AQ314" s="55">
        <f t="shared" ref="AQ314" si="119">IF($C312="",0,IF(AND(AQ312=$C312,AQ313=$C313),5,IF(OR(AND(AQ312-AQ313&gt;0,$C312-$C313&gt;0),AND(AQ313-AQ312&gt;0,$C313-$C312&gt;0),AND(AQ312-AQ313=0,$C312-$C313=0)),2,0)+IF(OR(AQ312=$C312,AQ313=$C313),1,0)))</f>
        <v>0</v>
      </c>
      <c r="AR314" s="55">
        <f t="shared" si="118"/>
        <v>0</v>
      </c>
      <c r="AS314" s="55">
        <f t="shared" si="118"/>
        <v>0</v>
      </c>
      <c r="AT314" s="55">
        <f t="shared" si="118"/>
        <v>0</v>
      </c>
      <c r="AU314" s="55">
        <f t="shared" si="118"/>
        <v>0</v>
      </c>
      <c r="AV314" s="55">
        <f t="shared" si="118"/>
        <v>0</v>
      </c>
      <c r="AW314" s="55">
        <f t="shared" si="118"/>
        <v>0</v>
      </c>
      <c r="AX314" s="55">
        <f t="shared" si="118"/>
        <v>0</v>
      </c>
      <c r="AY314" s="55">
        <f t="shared" si="118"/>
        <v>0</v>
      </c>
      <c r="AZ314" s="55">
        <f t="shared" si="118"/>
        <v>0</v>
      </c>
      <c r="BA314" s="55">
        <f t="shared" si="118"/>
        <v>0</v>
      </c>
      <c r="BB314" s="55">
        <f t="shared" si="118"/>
        <v>0</v>
      </c>
      <c r="BC314" s="55">
        <f t="shared" si="118"/>
        <v>0</v>
      </c>
      <c r="BD314" s="55">
        <f t="shared" si="118"/>
        <v>0</v>
      </c>
      <c r="BE314" s="55">
        <f t="shared" si="118"/>
        <v>0</v>
      </c>
      <c r="BF314" s="55">
        <f t="shared" si="118"/>
        <v>0</v>
      </c>
      <c r="BG314" s="55">
        <f t="shared" si="118"/>
        <v>0</v>
      </c>
      <c r="BH314" s="55">
        <f t="shared" si="118"/>
        <v>0</v>
      </c>
      <c r="BI314" s="55">
        <f t="shared" si="118"/>
        <v>0</v>
      </c>
      <c r="BJ314" s="55">
        <f t="shared" si="118"/>
        <v>0</v>
      </c>
    </row>
    <row r="315" spans="1:62" ht="15.75" customHeight="1" x14ac:dyDescent="0.25">
      <c r="A315" s="62"/>
      <c r="B315" s="19">
        <v>0.79166666666666663</v>
      </c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</row>
    <row r="316" spans="1:62" ht="15.75" customHeight="1" x14ac:dyDescent="0.25">
      <c r="A316" s="23"/>
    </row>
    <row r="317" spans="1:62" ht="22.5" customHeight="1" x14ac:dyDescent="0.25">
      <c r="A317" s="61">
        <v>61</v>
      </c>
      <c r="B317" s="14" t="s">
        <v>115</v>
      </c>
      <c r="C317" s="15"/>
      <c r="D317" s="16">
        <v>1</v>
      </c>
      <c r="E317" s="16">
        <v>1</v>
      </c>
      <c r="F317" s="16">
        <v>1</v>
      </c>
      <c r="G317" s="17">
        <v>1</v>
      </c>
      <c r="H317" s="16">
        <v>1</v>
      </c>
      <c r="I317" s="16">
        <v>1</v>
      </c>
      <c r="J317" s="16">
        <v>1</v>
      </c>
      <c r="K317" s="16">
        <v>2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  <c r="R317" s="17">
        <v>1</v>
      </c>
      <c r="S317" s="16">
        <v>1</v>
      </c>
      <c r="T317" s="16">
        <v>1</v>
      </c>
      <c r="U317" s="16">
        <v>2</v>
      </c>
      <c r="V317" s="16">
        <v>1</v>
      </c>
      <c r="W317" s="16">
        <v>1</v>
      </c>
      <c r="X317" s="16">
        <v>0</v>
      </c>
      <c r="Y317" s="16">
        <v>1</v>
      </c>
      <c r="Z317" s="16">
        <v>1</v>
      </c>
      <c r="AA317" s="17">
        <v>1</v>
      </c>
      <c r="AB317" s="16">
        <v>1</v>
      </c>
      <c r="AC317" s="16">
        <v>1</v>
      </c>
      <c r="AD317" s="17">
        <v>1</v>
      </c>
      <c r="AE317" s="17">
        <v>1</v>
      </c>
      <c r="AF317" s="17">
        <v>1</v>
      </c>
      <c r="AG317" s="16">
        <v>1</v>
      </c>
      <c r="AH317" s="16">
        <v>0</v>
      </c>
      <c r="AI317" s="17">
        <v>2</v>
      </c>
      <c r="AJ317" s="16">
        <v>1</v>
      </c>
      <c r="AK317" s="16">
        <v>1</v>
      </c>
      <c r="AL317" s="16">
        <v>2</v>
      </c>
      <c r="AM317" s="16">
        <v>0</v>
      </c>
      <c r="AN317" s="16">
        <v>0</v>
      </c>
      <c r="AO317" s="16">
        <v>1</v>
      </c>
      <c r="AP317" s="17">
        <v>0</v>
      </c>
      <c r="AQ317" s="16">
        <v>1</v>
      </c>
      <c r="AR317" s="17">
        <v>1</v>
      </c>
      <c r="AS317" s="17">
        <v>1</v>
      </c>
      <c r="AT317" s="16">
        <v>1</v>
      </c>
      <c r="AU317" s="17">
        <v>1</v>
      </c>
      <c r="AV317" s="16">
        <v>1</v>
      </c>
      <c r="AW317" s="16">
        <v>1</v>
      </c>
      <c r="AX317" s="16">
        <v>1</v>
      </c>
      <c r="AY317" s="16">
        <v>1</v>
      </c>
      <c r="AZ317" s="16">
        <v>1</v>
      </c>
      <c r="BA317" s="16">
        <v>0</v>
      </c>
      <c r="BB317" s="16">
        <v>1</v>
      </c>
      <c r="BC317" s="17">
        <v>1</v>
      </c>
      <c r="BD317" s="16">
        <v>1</v>
      </c>
      <c r="BE317" s="17">
        <v>1</v>
      </c>
      <c r="BF317" s="17">
        <v>0</v>
      </c>
      <c r="BG317" s="16">
        <v>2</v>
      </c>
      <c r="BH317" s="17">
        <v>2</v>
      </c>
      <c r="BI317" s="16">
        <v>2</v>
      </c>
      <c r="BJ317" s="16">
        <v>0</v>
      </c>
    </row>
    <row r="318" spans="1:62" ht="21" customHeight="1" x14ac:dyDescent="0.25">
      <c r="A318" s="62"/>
      <c r="B318" s="14" t="s">
        <v>111</v>
      </c>
      <c r="C318" s="15"/>
      <c r="D318" s="16">
        <v>2</v>
      </c>
      <c r="E318" s="16">
        <v>1</v>
      </c>
      <c r="F318" s="16">
        <v>2</v>
      </c>
      <c r="G318" s="17">
        <v>3</v>
      </c>
      <c r="H318" s="16">
        <v>2</v>
      </c>
      <c r="I318" s="16">
        <v>4</v>
      </c>
      <c r="J318" s="16">
        <v>2</v>
      </c>
      <c r="K318" s="16">
        <v>3</v>
      </c>
      <c r="L318" s="16">
        <v>2</v>
      </c>
      <c r="M318" s="16">
        <v>0</v>
      </c>
      <c r="N318" s="16">
        <v>2</v>
      </c>
      <c r="O318" s="16">
        <v>2</v>
      </c>
      <c r="P318" s="16">
        <v>2</v>
      </c>
      <c r="Q318" s="16">
        <v>3</v>
      </c>
      <c r="R318" s="17">
        <v>2</v>
      </c>
      <c r="S318" s="16">
        <v>2</v>
      </c>
      <c r="T318" s="16">
        <v>2</v>
      </c>
      <c r="U318" s="16">
        <v>3</v>
      </c>
      <c r="V318" s="16">
        <v>2</v>
      </c>
      <c r="W318" s="16">
        <v>4</v>
      </c>
      <c r="X318" s="16">
        <v>2</v>
      </c>
      <c r="Y318" s="16">
        <v>2</v>
      </c>
      <c r="Z318" s="16">
        <v>2</v>
      </c>
      <c r="AA318" s="17">
        <v>3</v>
      </c>
      <c r="AB318" s="16">
        <v>3</v>
      </c>
      <c r="AC318" s="16">
        <v>2</v>
      </c>
      <c r="AD318" s="17">
        <v>3</v>
      </c>
      <c r="AE318" s="17">
        <v>2</v>
      </c>
      <c r="AF318" s="17">
        <v>1</v>
      </c>
      <c r="AG318" s="16">
        <v>2</v>
      </c>
      <c r="AH318" s="16">
        <v>2</v>
      </c>
      <c r="AI318" s="17">
        <v>2</v>
      </c>
      <c r="AJ318" s="16">
        <v>3</v>
      </c>
      <c r="AK318" s="16">
        <v>1</v>
      </c>
      <c r="AL318" s="16">
        <v>2</v>
      </c>
      <c r="AM318" s="16">
        <v>2</v>
      </c>
      <c r="AN318" s="16">
        <v>2</v>
      </c>
      <c r="AO318" s="16">
        <v>3</v>
      </c>
      <c r="AP318" s="17">
        <v>2</v>
      </c>
      <c r="AQ318" s="16">
        <v>2</v>
      </c>
      <c r="AR318" s="17">
        <v>2</v>
      </c>
      <c r="AS318" s="17">
        <v>2</v>
      </c>
      <c r="AT318" s="16">
        <v>2</v>
      </c>
      <c r="AU318" s="17">
        <v>2</v>
      </c>
      <c r="AV318" s="16">
        <v>1</v>
      </c>
      <c r="AW318" s="16">
        <v>3</v>
      </c>
      <c r="AX318" s="16">
        <v>2</v>
      </c>
      <c r="AY318" s="16">
        <v>2</v>
      </c>
      <c r="AZ318" s="16">
        <v>2</v>
      </c>
      <c r="BA318" s="16">
        <v>1</v>
      </c>
      <c r="BB318" s="16">
        <v>3</v>
      </c>
      <c r="BC318" s="17">
        <v>1</v>
      </c>
      <c r="BD318" s="16">
        <v>2</v>
      </c>
      <c r="BE318" s="17">
        <v>3</v>
      </c>
      <c r="BF318" s="17">
        <v>2</v>
      </c>
      <c r="BG318" s="16">
        <v>1</v>
      </c>
      <c r="BH318" s="17">
        <v>2</v>
      </c>
      <c r="BI318" s="16">
        <v>3</v>
      </c>
      <c r="BJ318" s="16">
        <v>1</v>
      </c>
    </row>
    <row r="319" spans="1:62" ht="15.75" customHeight="1" x14ac:dyDescent="0.25">
      <c r="A319" s="62"/>
      <c r="B319" s="18">
        <v>46199</v>
      </c>
      <c r="C319" s="60" t="s">
        <v>65</v>
      </c>
      <c r="D319" s="55">
        <f t="shared" ref="D319:BJ319" si="120">IF($C317="",0,IF(AND(D317=$C317,D318=$C318),5,IF(OR(AND(D317-D318&gt;0,$C317-$C318&gt;0),AND(D318-D317&gt;0,$C318-$C317&gt;0),AND(D317-D318=0,$C317-$C318=0)),2,0)+IF(OR(D317=$C317,D318=$C318),1,0)))</f>
        <v>0</v>
      </c>
      <c r="E319" s="55">
        <f t="shared" si="120"/>
        <v>0</v>
      </c>
      <c r="F319" s="55">
        <f t="shared" si="120"/>
        <v>0</v>
      </c>
      <c r="G319" s="55">
        <f t="shared" si="120"/>
        <v>0</v>
      </c>
      <c r="H319" s="55">
        <f t="shared" si="120"/>
        <v>0</v>
      </c>
      <c r="I319" s="55">
        <f t="shared" si="120"/>
        <v>0</v>
      </c>
      <c r="J319" s="55">
        <f t="shared" si="120"/>
        <v>0</v>
      </c>
      <c r="K319" s="55">
        <f t="shared" si="120"/>
        <v>0</v>
      </c>
      <c r="L319" s="55">
        <f t="shared" si="120"/>
        <v>0</v>
      </c>
      <c r="M319" s="55">
        <f t="shared" si="120"/>
        <v>0</v>
      </c>
      <c r="N319" s="55">
        <f t="shared" si="120"/>
        <v>0</v>
      </c>
      <c r="O319" s="55">
        <f t="shared" si="120"/>
        <v>0</v>
      </c>
      <c r="P319" s="55">
        <f t="shared" si="120"/>
        <v>0</v>
      </c>
      <c r="Q319" s="55">
        <f t="shared" si="120"/>
        <v>0</v>
      </c>
      <c r="R319" s="55">
        <f t="shared" si="120"/>
        <v>0</v>
      </c>
      <c r="S319" s="55">
        <f t="shared" si="120"/>
        <v>0</v>
      </c>
      <c r="T319" s="55">
        <f t="shared" si="120"/>
        <v>0</v>
      </c>
      <c r="U319" s="55">
        <f t="shared" si="120"/>
        <v>0</v>
      </c>
      <c r="V319" s="55">
        <f t="shared" si="120"/>
        <v>0</v>
      </c>
      <c r="W319" s="55">
        <f t="shared" si="120"/>
        <v>0</v>
      </c>
      <c r="X319" s="55">
        <f t="shared" si="120"/>
        <v>0</v>
      </c>
      <c r="Y319" s="55">
        <f t="shared" si="120"/>
        <v>0</v>
      </c>
      <c r="Z319" s="55">
        <f t="shared" si="120"/>
        <v>0</v>
      </c>
      <c r="AA319" s="55">
        <f t="shared" si="120"/>
        <v>0</v>
      </c>
      <c r="AB319" s="55">
        <f t="shared" si="120"/>
        <v>0</v>
      </c>
      <c r="AC319" s="55">
        <f t="shared" si="120"/>
        <v>0</v>
      </c>
      <c r="AD319" s="55">
        <f t="shared" si="120"/>
        <v>0</v>
      </c>
      <c r="AE319" s="55">
        <f t="shared" si="120"/>
        <v>0</v>
      </c>
      <c r="AF319" s="55">
        <f t="shared" si="120"/>
        <v>0</v>
      </c>
      <c r="AG319" s="55">
        <f t="shared" si="120"/>
        <v>0</v>
      </c>
      <c r="AH319" s="55">
        <f t="shared" si="120"/>
        <v>0</v>
      </c>
      <c r="AI319" s="55">
        <f t="shared" si="120"/>
        <v>0</v>
      </c>
      <c r="AJ319" s="55">
        <f t="shared" si="120"/>
        <v>0</v>
      </c>
      <c r="AK319" s="55">
        <f t="shared" si="120"/>
        <v>0</v>
      </c>
      <c r="AL319" s="55">
        <f t="shared" si="120"/>
        <v>0</v>
      </c>
      <c r="AM319" s="55">
        <f t="shared" si="120"/>
        <v>0</v>
      </c>
      <c r="AN319" s="55">
        <f t="shared" si="120"/>
        <v>0</v>
      </c>
      <c r="AO319" s="55">
        <f t="shared" si="120"/>
        <v>0</v>
      </c>
      <c r="AP319" s="55">
        <f t="shared" si="120"/>
        <v>0</v>
      </c>
      <c r="AQ319" s="55">
        <f t="shared" ref="AQ319" si="121">IF($C317="",0,IF(AND(AQ317=$C317,AQ318=$C318),5,IF(OR(AND(AQ317-AQ318&gt;0,$C317-$C318&gt;0),AND(AQ318-AQ317&gt;0,$C318-$C317&gt;0),AND(AQ317-AQ318=0,$C317-$C318=0)),2,0)+IF(OR(AQ317=$C317,AQ318=$C318),1,0)))</f>
        <v>0</v>
      </c>
      <c r="AR319" s="55">
        <f t="shared" si="120"/>
        <v>0</v>
      </c>
      <c r="AS319" s="55">
        <f t="shared" si="120"/>
        <v>0</v>
      </c>
      <c r="AT319" s="55">
        <f t="shared" si="120"/>
        <v>0</v>
      </c>
      <c r="AU319" s="55">
        <f t="shared" si="120"/>
        <v>0</v>
      </c>
      <c r="AV319" s="55">
        <f t="shared" si="120"/>
        <v>0</v>
      </c>
      <c r="AW319" s="55">
        <f t="shared" si="120"/>
        <v>0</v>
      </c>
      <c r="AX319" s="55">
        <f t="shared" si="120"/>
        <v>0</v>
      </c>
      <c r="AY319" s="55">
        <f t="shared" si="120"/>
        <v>0</v>
      </c>
      <c r="AZ319" s="55">
        <f t="shared" si="120"/>
        <v>0</v>
      </c>
      <c r="BA319" s="55">
        <f t="shared" si="120"/>
        <v>0</v>
      </c>
      <c r="BB319" s="55">
        <f t="shared" si="120"/>
        <v>0</v>
      </c>
      <c r="BC319" s="55">
        <f t="shared" si="120"/>
        <v>0</v>
      </c>
      <c r="BD319" s="55">
        <f t="shared" si="120"/>
        <v>0</v>
      </c>
      <c r="BE319" s="55">
        <f t="shared" si="120"/>
        <v>0</v>
      </c>
      <c r="BF319" s="55">
        <f t="shared" si="120"/>
        <v>0</v>
      </c>
      <c r="BG319" s="55">
        <f t="shared" si="120"/>
        <v>0</v>
      </c>
      <c r="BH319" s="55">
        <f t="shared" si="120"/>
        <v>0</v>
      </c>
      <c r="BI319" s="55">
        <f t="shared" si="120"/>
        <v>0</v>
      </c>
      <c r="BJ319" s="55">
        <f t="shared" si="120"/>
        <v>0</v>
      </c>
    </row>
    <row r="320" spans="1:62" ht="15.75" customHeight="1" x14ac:dyDescent="0.25">
      <c r="A320" s="62"/>
      <c r="B320" s="19">
        <v>0.58333333333333337</v>
      </c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</row>
    <row r="321" spans="1:62" ht="15.75" customHeight="1" x14ac:dyDescent="0.25">
      <c r="A321" s="23"/>
    </row>
    <row r="322" spans="1:62" ht="21" customHeight="1" x14ac:dyDescent="0.25">
      <c r="A322" s="61">
        <v>62</v>
      </c>
      <c r="B322" s="14" t="s">
        <v>112</v>
      </c>
      <c r="C322" s="15"/>
      <c r="D322" s="16">
        <v>2</v>
      </c>
      <c r="E322" s="16">
        <v>3</v>
      </c>
      <c r="F322" s="16">
        <v>2</v>
      </c>
      <c r="G322" s="17">
        <v>2</v>
      </c>
      <c r="H322" s="16">
        <v>2</v>
      </c>
      <c r="I322" s="16">
        <v>2</v>
      </c>
      <c r="J322" s="16">
        <v>2</v>
      </c>
      <c r="K322" s="16">
        <v>1</v>
      </c>
      <c r="L322" s="16">
        <v>2</v>
      </c>
      <c r="M322" s="16">
        <v>2</v>
      </c>
      <c r="N322" s="16">
        <v>2</v>
      </c>
      <c r="O322" s="16">
        <v>2</v>
      </c>
      <c r="P322" s="16">
        <v>3</v>
      </c>
      <c r="Q322" s="16">
        <v>0</v>
      </c>
      <c r="R322" s="17">
        <v>2</v>
      </c>
      <c r="S322" s="16">
        <v>2</v>
      </c>
      <c r="T322" s="16">
        <v>2</v>
      </c>
      <c r="U322" s="16">
        <v>2</v>
      </c>
      <c r="V322" s="16">
        <v>2</v>
      </c>
      <c r="W322" s="16">
        <v>3</v>
      </c>
      <c r="X322" s="16">
        <v>2</v>
      </c>
      <c r="Y322" s="16">
        <v>2</v>
      </c>
      <c r="Z322" s="16">
        <v>2</v>
      </c>
      <c r="AA322" s="17">
        <v>2</v>
      </c>
      <c r="AB322" s="16">
        <v>3</v>
      </c>
      <c r="AC322" s="16">
        <v>2</v>
      </c>
      <c r="AD322" s="17">
        <v>1</v>
      </c>
      <c r="AE322" s="17">
        <v>2</v>
      </c>
      <c r="AF322" s="17">
        <v>2</v>
      </c>
      <c r="AG322" s="16">
        <v>2</v>
      </c>
      <c r="AH322" s="16">
        <v>2</v>
      </c>
      <c r="AI322" s="17">
        <v>1</v>
      </c>
      <c r="AJ322" s="16">
        <v>1</v>
      </c>
      <c r="AK322" s="16">
        <v>2</v>
      </c>
      <c r="AL322" s="16">
        <v>1</v>
      </c>
      <c r="AM322" s="16">
        <v>2</v>
      </c>
      <c r="AN322" s="16">
        <v>2</v>
      </c>
      <c r="AO322" s="16">
        <v>3</v>
      </c>
      <c r="AP322" s="17">
        <v>2</v>
      </c>
      <c r="AQ322" s="16">
        <v>2</v>
      </c>
      <c r="AR322" s="17">
        <v>3</v>
      </c>
      <c r="AS322" s="17">
        <v>2</v>
      </c>
      <c r="AT322" s="16">
        <v>1</v>
      </c>
      <c r="AU322" s="17">
        <v>1</v>
      </c>
      <c r="AV322" s="16">
        <v>2</v>
      </c>
      <c r="AW322" s="16">
        <v>1</v>
      </c>
      <c r="AX322" s="16">
        <v>2</v>
      </c>
      <c r="AY322" s="16">
        <v>2</v>
      </c>
      <c r="AZ322" s="16">
        <v>2</v>
      </c>
      <c r="BA322" s="16">
        <v>1</v>
      </c>
      <c r="BB322" s="16">
        <v>1</v>
      </c>
      <c r="BC322" s="17">
        <v>2</v>
      </c>
      <c r="BD322" s="16">
        <v>2</v>
      </c>
      <c r="BE322" s="17">
        <v>2</v>
      </c>
      <c r="BF322" s="17">
        <v>2</v>
      </c>
      <c r="BG322" s="16">
        <v>2</v>
      </c>
      <c r="BH322" s="17">
        <v>2</v>
      </c>
      <c r="BI322" s="16">
        <v>1</v>
      </c>
      <c r="BJ322" s="16">
        <v>2</v>
      </c>
    </row>
    <row r="323" spans="1:62" ht="21" customHeight="1" x14ac:dyDescent="0.25">
      <c r="A323" s="62"/>
      <c r="B323" s="14" t="s">
        <v>113</v>
      </c>
      <c r="C323" s="15"/>
      <c r="D323" s="16">
        <v>0</v>
      </c>
      <c r="E323" s="16">
        <v>1</v>
      </c>
      <c r="F323" s="16">
        <v>0</v>
      </c>
      <c r="G323" s="17">
        <v>0</v>
      </c>
      <c r="H323" s="16">
        <v>0</v>
      </c>
      <c r="I323" s="16">
        <v>2</v>
      </c>
      <c r="J323" s="16">
        <v>3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7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1</v>
      </c>
      <c r="X323" s="16">
        <v>1</v>
      </c>
      <c r="Y323" s="16">
        <v>0</v>
      </c>
      <c r="Z323" s="16">
        <v>1</v>
      </c>
      <c r="AA323" s="17">
        <v>1</v>
      </c>
      <c r="AB323" s="16">
        <v>0</v>
      </c>
      <c r="AC323" s="16">
        <v>0</v>
      </c>
      <c r="AD323" s="17">
        <v>1</v>
      </c>
      <c r="AE323" s="17">
        <v>0</v>
      </c>
      <c r="AF323" s="17">
        <v>1</v>
      </c>
      <c r="AG323" s="16">
        <v>0</v>
      </c>
      <c r="AH323" s="16">
        <v>0</v>
      </c>
      <c r="AI323" s="17">
        <v>1</v>
      </c>
      <c r="AJ323" s="16">
        <v>0</v>
      </c>
      <c r="AK323" s="16">
        <v>0</v>
      </c>
      <c r="AL323" s="16">
        <v>1</v>
      </c>
      <c r="AM323" s="16">
        <v>2</v>
      </c>
      <c r="AN323" s="16">
        <v>0</v>
      </c>
      <c r="AO323" s="16">
        <v>0</v>
      </c>
      <c r="AP323" s="17">
        <v>0</v>
      </c>
      <c r="AQ323" s="16">
        <v>0</v>
      </c>
      <c r="AR323" s="17">
        <v>0</v>
      </c>
      <c r="AS323" s="17">
        <v>1</v>
      </c>
      <c r="AT323" s="16">
        <v>1</v>
      </c>
      <c r="AU323" s="17">
        <v>0</v>
      </c>
      <c r="AV323" s="16">
        <v>1</v>
      </c>
      <c r="AW323" s="16">
        <v>0</v>
      </c>
      <c r="AX323" s="16">
        <v>1</v>
      </c>
      <c r="AY323" s="16">
        <v>0</v>
      </c>
      <c r="AZ323" s="16">
        <v>0</v>
      </c>
      <c r="BA323" s="16">
        <v>0</v>
      </c>
      <c r="BB323" s="16">
        <v>0</v>
      </c>
      <c r="BC323" s="17">
        <v>1</v>
      </c>
      <c r="BD323" s="16">
        <v>0</v>
      </c>
      <c r="BE323" s="17">
        <v>0</v>
      </c>
      <c r="BF323" s="17">
        <v>0</v>
      </c>
      <c r="BG323" s="16">
        <v>0</v>
      </c>
      <c r="BH323" s="17">
        <v>0</v>
      </c>
      <c r="BI323" s="16">
        <v>1</v>
      </c>
      <c r="BJ323" s="16">
        <v>0</v>
      </c>
    </row>
    <row r="324" spans="1:62" ht="15.75" customHeight="1" x14ac:dyDescent="0.25">
      <c r="A324" s="62"/>
      <c r="B324" s="18">
        <v>46199</v>
      </c>
      <c r="C324" s="60" t="s">
        <v>65</v>
      </c>
      <c r="D324" s="55">
        <f t="shared" ref="D324:BJ324" si="122">IF($C322="",0,IF(AND(D322=$C322,D323=$C323),5,IF(OR(AND(D322-D323&gt;0,$C322-$C323&gt;0),AND(D323-D322&gt;0,$C323-$C322&gt;0),AND(D322-D323=0,$C322-$C323=0)),2,0)+IF(OR(D322=$C322,D323=$C323),1,0)))</f>
        <v>0</v>
      </c>
      <c r="E324" s="55">
        <f t="shared" si="122"/>
        <v>0</v>
      </c>
      <c r="F324" s="55">
        <f t="shared" si="122"/>
        <v>0</v>
      </c>
      <c r="G324" s="55">
        <f t="shared" si="122"/>
        <v>0</v>
      </c>
      <c r="H324" s="55">
        <f t="shared" si="122"/>
        <v>0</v>
      </c>
      <c r="I324" s="55">
        <f t="shared" si="122"/>
        <v>0</v>
      </c>
      <c r="J324" s="55">
        <f t="shared" si="122"/>
        <v>0</v>
      </c>
      <c r="K324" s="55">
        <f t="shared" si="122"/>
        <v>0</v>
      </c>
      <c r="L324" s="55">
        <f t="shared" si="122"/>
        <v>0</v>
      </c>
      <c r="M324" s="55">
        <f t="shared" si="122"/>
        <v>0</v>
      </c>
      <c r="N324" s="55">
        <f t="shared" si="122"/>
        <v>0</v>
      </c>
      <c r="O324" s="55">
        <f t="shared" si="122"/>
        <v>0</v>
      </c>
      <c r="P324" s="55">
        <f t="shared" si="122"/>
        <v>0</v>
      </c>
      <c r="Q324" s="55">
        <f t="shared" si="122"/>
        <v>0</v>
      </c>
      <c r="R324" s="55">
        <f t="shared" si="122"/>
        <v>0</v>
      </c>
      <c r="S324" s="55">
        <f t="shared" si="122"/>
        <v>0</v>
      </c>
      <c r="T324" s="55">
        <f t="shared" si="122"/>
        <v>0</v>
      </c>
      <c r="U324" s="55">
        <f t="shared" si="122"/>
        <v>0</v>
      </c>
      <c r="V324" s="55">
        <f t="shared" si="122"/>
        <v>0</v>
      </c>
      <c r="W324" s="55">
        <f t="shared" si="122"/>
        <v>0</v>
      </c>
      <c r="X324" s="55">
        <f t="shared" si="122"/>
        <v>0</v>
      </c>
      <c r="Y324" s="55">
        <f t="shared" si="122"/>
        <v>0</v>
      </c>
      <c r="Z324" s="55">
        <f t="shared" si="122"/>
        <v>0</v>
      </c>
      <c r="AA324" s="55">
        <f t="shared" si="122"/>
        <v>0</v>
      </c>
      <c r="AB324" s="55">
        <f t="shared" si="122"/>
        <v>0</v>
      </c>
      <c r="AC324" s="55">
        <f t="shared" si="122"/>
        <v>0</v>
      </c>
      <c r="AD324" s="55">
        <f t="shared" si="122"/>
        <v>0</v>
      </c>
      <c r="AE324" s="55">
        <f t="shared" si="122"/>
        <v>0</v>
      </c>
      <c r="AF324" s="55">
        <f t="shared" si="122"/>
        <v>0</v>
      </c>
      <c r="AG324" s="55">
        <f t="shared" si="122"/>
        <v>0</v>
      </c>
      <c r="AH324" s="55">
        <f t="shared" si="122"/>
        <v>0</v>
      </c>
      <c r="AI324" s="55">
        <f t="shared" si="122"/>
        <v>0</v>
      </c>
      <c r="AJ324" s="55">
        <f t="shared" si="122"/>
        <v>0</v>
      </c>
      <c r="AK324" s="55">
        <f t="shared" si="122"/>
        <v>0</v>
      </c>
      <c r="AL324" s="55">
        <f t="shared" si="122"/>
        <v>0</v>
      </c>
      <c r="AM324" s="55">
        <f t="shared" si="122"/>
        <v>0</v>
      </c>
      <c r="AN324" s="55">
        <f t="shared" si="122"/>
        <v>0</v>
      </c>
      <c r="AO324" s="55">
        <f t="shared" si="122"/>
        <v>0</v>
      </c>
      <c r="AP324" s="55">
        <f t="shared" si="122"/>
        <v>0</v>
      </c>
      <c r="AQ324" s="55">
        <f t="shared" ref="AQ324" si="123">IF($C322="",0,IF(AND(AQ322=$C322,AQ323=$C323),5,IF(OR(AND(AQ322-AQ323&gt;0,$C322-$C323&gt;0),AND(AQ323-AQ322&gt;0,$C323-$C322&gt;0),AND(AQ322-AQ323=0,$C322-$C323=0)),2,0)+IF(OR(AQ322=$C322,AQ323=$C323),1,0)))</f>
        <v>0</v>
      </c>
      <c r="AR324" s="55">
        <f t="shared" si="122"/>
        <v>0</v>
      </c>
      <c r="AS324" s="55">
        <f t="shared" si="122"/>
        <v>0</v>
      </c>
      <c r="AT324" s="55">
        <f t="shared" si="122"/>
        <v>0</v>
      </c>
      <c r="AU324" s="55">
        <f t="shared" si="122"/>
        <v>0</v>
      </c>
      <c r="AV324" s="55">
        <f t="shared" si="122"/>
        <v>0</v>
      </c>
      <c r="AW324" s="55">
        <f t="shared" si="122"/>
        <v>0</v>
      </c>
      <c r="AX324" s="55">
        <f t="shared" si="122"/>
        <v>0</v>
      </c>
      <c r="AY324" s="55">
        <f t="shared" si="122"/>
        <v>0</v>
      </c>
      <c r="AZ324" s="55">
        <f t="shared" si="122"/>
        <v>0</v>
      </c>
      <c r="BA324" s="55">
        <f t="shared" si="122"/>
        <v>0</v>
      </c>
      <c r="BB324" s="55">
        <f t="shared" si="122"/>
        <v>0</v>
      </c>
      <c r="BC324" s="55">
        <f t="shared" si="122"/>
        <v>0</v>
      </c>
      <c r="BD324" s="55">
        <f t="shared" si="122"/>
        <v>0</v>
      </c>
      <c r="BE324" s="55">
        <f t="shared" si="122"/>
        <v>0</v>
      </c>
      <c r="BF324" s="55">
        <f t="shared" si="122"/>
        <v>0</v>
      </c>
      <c r="BG324" s="55">
        <f t="shared" si="122"/>
        <v>0</v>
      </c>
      <c r="BH324" s="55">
        <f t="shared" si="122"/>
        <v>0</v>
      </c>
      <c r="BI324" s="55">
        <f t="shared" si="122"/>
        <v>0</v>
      </c>
      <c r="BJ324" s="55">
        <f t="shared" si="122"/>
        <v>0</v>
      </c>
    </row>
    <row r="325" spans="1:62" ht="15.75" customHeight="1" x14ac:dyDescent="0.25">
      <c r="A325" s="62"/>
      <c r="B325" s="19">
        <v>0.58333333333333337</v>
      </c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</row>
    <row r="326" spans="1:62" ht="15.75" customHeight="1" x14ac:dyDescent="0.25"/>
    <row r="327" spans="1:62" ht="15.75" customHeight="1" x14ac:dyDescent="0.25"/>
    <row r="328" spans="1:62" ht="15.75" customHeight="1" x14ac:dyDescent="0.25"/>
    <row r="329" spans="1:62" ht="42" customHeight="1" x14ac:dyDescent="0.25">
      <c r="A329" s="57" t="s">
        <v>116</v>
      </c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9"/>
    </row>
    <row r="330" spans="1:62" ht="15.75" customHeight="1" x14ac:dyDescent="0.25">
      <c r="A330" s="2"/>
      <c r="B330" s="2"/>
      <c r="C330" s="2"/>
      <c r="D330" s="2"/>
      <c r="E330" s="2"/>
      <c r="F330" s="2"/>
      <c r="G330" s="2"/>
      <c r="H330" s="3"/>
      <c r="I330" s="3"/>
      <c r="J330" s="3"/>
    </row>
    <row r="331" spans="1:62" ht="15.75" customHeight="1" x14ac:dyDescent="0.25">
      <c r="A331" s="4"/>
      <c r="B331" s="5"/>
      <c r="C331" s="6"/>
      <c r="D331" s="7">
        <v>1</v>
      </c>
      <c r="E331" s="7">
        <v>2</v>
      </c>
      <c r="F331" s="7">
        <v>3</v>
      </c>
      <c r="G331" s="7">
        <v>4</v>
      </c>
      <c r="H331" s="7">
        <v>5</v>
      </c>
      <c r="I331" s="7">
        <v>6</v>
      </c>
      <c r="J331" s="7">
        <v>7</v>
      </c>
      <c r="K331" s="7">
        <v>8</v>
      </c>
      <c r="L331" s="7">
        <v>9</v>
      </c>
      <c r="M331" s="7">
        <v>10</v>
      </c>
      <c r="N331" s="7">
        <v>11</v>
      </c>
      <c r="O331" s="7">
        <v>13</v>
      </c>
      <c r="P331" s="7">
        <v>14</v>
      </c>
      <c r="Q331" s="7">
        <v>15</v>
      </c>
      <c r="R331" s="7">
        <v>16</v>
      </c>
      <c r="S331" s="7">
        <v>17</v>
      </c>
      <c r="T331" s="7">
        <v>18</v>
      </c>
      <c r="U331" s="7">
        <v>19</v>
      </c>
      <c r="V331" s="7">
        <v>20</v>
      </c>
      <c r="W331" s="7">
        <v>21</v>
      </c>
      <c r="X331" s="7">
        <v>22</v>
      </c>
      <c r="Y331" s="7">
        <v>24</v>
      </c>
      <c r="Z331" s="7">
        <v>25</v>
      </c>
      <c r="AA331" s="7">
        <v>26</v>
      </c>
      <c r="AB331" s="7">
        <v>27</v>
      </c>
      <c r="AC331" s="7">
        <v>29</v>
      </c>
      <c r="AD331" s="7">
        <v>30</v>
      </c>
      <c r="AE331" s="7">
        <v>32</v>
      </c>
      <c r="AF331" s="7">
        <v>33</v>
      </c>
      <c r="AG331" s="7">
        <v>34</v>
      </c>
      <c r="AH331" s="7">
        <v>35</v>
      </c>
      <c r="AI331" s="7">
        <v>36</v>
      </c>
      <c r="AJ331" s="7">
        <v>37</v>
      </c>
      <c r="AK331" s="7">
        <v>38</v>
      </c>
      <c r="AL331" s="7">
        <v>39</v>
      </c>
      <c r="AM331" s="7">
        <v>40</v>
      </c>
      <c r="AN331" s="7">
        <v>41</v>
      </c>
      <c r="AO331" s="7">
        <v>42</v>
      </c>
      <c r="AP331" s="7">
        <v>44</v>
      </c>
      <c r="AQ331" s="7">
        <v>67</v>
      </c>
      <c r="AR331" s="7">
        <v>48</v>
      </c>
      <c r="AS331" s="7">
        <v>49</v>
      </c>
      <c r="AT331" s="7">
        <v>51</v>
      </c>
      <c r="AU331" s="7">
        <v>52</v>
      </c>
      <c r="AV331" s="7">
        <v>53</v>
      </c>
      <c r="AW331" s="7">
        <v>54</v>
      </c>
      <c r="AX331" s="7">
        <v>55</v>
      </c>
      <c r="AY331" s="7">
        <v>56</v>
      </c>
      <c r="AZ331" s="7">
        <v>57</v>
      </c>
      <c r="BA331" s="7">
        <v>58</v>
      </c>
      <c r="BB331" s="7">
        <v>59</v>
      </c>
      <c r="BC331" s="7">
        <v>60</v>
      </c>
      <c r="BD331" s="7">
        <v>61</v>
      </c>
      <c r="BE331" s="7">
        <v>62</v>
      </c>
      <c r="BF331" s="7">
        <v>63</v>
      </c>
      <c r="BG331" s="7">
        <v>64</v>
      </c>
      <c r="BH331" s="7">
        <v>65</v>
      </c>
      <c r="BI331" s="7">
        <v>66</v>
      </c>
      <c r="BJ331" s="7">
        <v>67</v>
      </c>
    </row>
    <row r="332" spans="1:62" ht="186.75" customHeight="1" x14ac:dyDescent="0.25">
      <c r="A332" s="8"/>
      <c r="B332" s="9" t="s">
        <v>3</v>
      </c>
      <c r="C332" s="10" t="s">
        <v>4</v>
      </c>
      <c r="D332" s="11" t="str">
        <f t="shared" ref="D332:BJ332" si="124">D8</f>
        <v>Julian Uribe</v>
      </c>
      <c r="E332" s="11" t="str">
        <f t="shared" si="124"/>
        <v>Yulian Sanchez</v>
      </c>
      <c r="F332" s="11" t="str">
        <f t="shared" si="124"/>
        <v>Francisco Moreno</v>
      </c>
      <c r="G332" s="11" t="str">
        <f t="shared" si="124"/>
        <v>Mauricio Guerrero</v>
      </c>
      <c r="H332" s="11" t="str">
        <f t="shared" si="124"/>
        <v>Gustavo Guerrero</v>
      </c>
      <c r="I332" s="11" t="str">
        <f t="shared" si="124"/>
        <v>Gerardo Martinez</v>
      </c>
      <c r="J332" s="11" t="str">
        <f t="shared" si="124"/>
        <v>Nora Perez</v>
      </c>
      <c r="K332" s="11" t="str">
        <f t="shared" si="124"/>
        <v>Laura Rodriguez</v>
      </c>
      <c r="L332" s="11" t="str">
        <f t="shared" si="124"/>
        <v>Jhoana Moreno</v>
      </c>
      <c r="M332" s="11" t="str">
        <f t="shared" si="124"/>
        <v xml:space="preserve">Yoselin Salinas </v>
      </c>
      <c r="N332" s="11" t="str">
        <f t="shared" si="124"/>
        <v>Luis Diaz</v>
      </c>
      <c r="O332" s="11" t="str">
        <f t="shared" si="124"/>
        <v>Diela del Carmen</v>
      </c>
      <c r="P332" s="11" t="str">
        <f t="shared" si="124"/>
        <v>Paola Agredo</v>
      </c>
      <c r="Q332" s="11" t="str">
        <f t="shared" si="124"/>
        <v>Oscar Suarez</v>
      </c>
      <c r="R332" s="11" t="str">
        <f t="shared" si="124"/>
        <v>Paulo Figueroa</v>
      </c>
      <c r="S332" s="11" t="str">
        <f t="shared" si="124"/>
        <v xml:space="preserve">Jean Piere </v>
      </c>
      <c r="T332" s="11" t="str">
        <f t="shared" si="124"/>
        <v>David Diaz</v>
      </c>
      <c r="U332" s="11" t="str">
        <f t="shared" si="124"/>
        <v xml:space="preserve">Christian Giraldo </v>
      </c>
      <c r="V332" s="11" t="str">
        <f t="shared" si="124"/>
        <v>Viviana Hurtado</v>
      </c>
      <c r="W332" s="11" t="str">
        <f t="shared" si="124"/>
        <v>James Chavez Ocampo</v>
      </c>
      <c r="X332" s="11" t="str">
        <f t="shared" si="124"/>
        <v>Luis Felipe Sanchez</v>
      </c>
      <c r="Y332" s="11" t="str">
        <f t="shared" si="124"/>
        <v>Laura Ossa</v>
      </c>
      <c r="Z332" s="11" t="str">
        <f t="shared" si="124"/>
        <v>Elizabeth Montealegre</v>
      </c>
      <c r="AA332" s="11" t="str">
        <f t="shared" si="124"/>
        <v>Liliana Montealegre</v>
      </c>
      <c r="AB332" s="11" t="str">
        <f t="shared" si="124"/>
        <v>Javier Andres Gomez</v>
      </c>
      <c r="AC332" s="11" t="str">
        <f t="shared" si="124"/>
        <v>Diana Carolina Marin</v>
      </c>
      <c r="AD332" s="11" t="str">
        <f t="shared" si="124"/>
        <v>Diego Fernando Saavedra</v>
      </c>
      <c r="AE332" s="11" t="str">
        <f t="shared" si="124"/>
        <v>Oscar Mayor</v>
      </c>
      <c r="AF332" s="11" t="str">
        <f t="shared" si="124"/>
        <v>Ingrid Toro</v>
      </c>
      <c r="AG332" s="11" t="str">
        <f t="shared" si="124"/>
        <v>Ana Marcela Castro</v>
      </c>
      <c r="AH332" s="11" t="str">
        <f t="shared" si="124"/>
        <v>Ricardo Gutierrez</v>
      </c>
      <c r="AI332" s="11" t="str">
        <f t="shared" si="124"/>
        <v>Natalia Navarro</v>
      </c>
      <c r="AJ332" s="11" t="str">
        <f t="shared" si="124"/>
        <v>Diana Perez</v>
      </c>
      <c r="AK332" s="11" t="str">
        <f t="shared" si="124"/>
        <v>Sergio Diaz</v>
      </c>
      <c r="AL332" s="11" t="str">
        <f t="shared" si="124"/>
        <v>William Oviedo</v>
      </c>
      <c r="AM332" s="11" t="str">
        <f t="shared" si="124"/>
        <v>Armando Orjuela</v>
      </c>
      <c r="AN332" s="11" t="str">
        <f t="shared" si="124"/>
        <v xml:space="preserve">Helen Muñoz </v>
      </c>
      <c r="AO332" s="11" t="str">
        <f t="shared" si="124"/>
        <v>Julieth Cruz - Luiz Diaz</v>
      </c>
      <c r="AP332" s="11" t="str">
        <f t="shared" si="124"/>
        <v>Jose Luis Montoya</v>
      </c>
      <c r="AQ332" s="11" t="str">
        <f t="shared" ref="AQ332" si="125">AQ8</f>
        <v>Julian Useche</v>
      </c>
      <c r="AR332" s="11" t="str">
        <f t="shared" si="124"/>
        <v>Sebastian Posada</v>
      </c>
      <c r="AS332" s="11" t="str">
        <f t="shared" si="124"/>
        <v>Juan Cifuentes</v>
      </c>
      <c r="AT332" s="11" t="str">
        <f t="shared" si="124"/>
        <v>Rodrigo Dominguez</v>
      </c>
      <c r="AU332" s="11" t="str">
        <f t="shared" si="124"/>
        <v xml:space="preserve">Carlos Calero </v>
      </c>
      <c r="AV332" s="11" t="str">
        <f t="shared" si="124"/>
        <v>Lewhis Spirth Montaño</v>
      </c>
      <c r="AW332" s="11" t="str">
        <f t="shared" si="124"/>
        <v>Sebastian Castro Luna</v>
      </c>
      <c r="AX332" s="11" t="str">
        <f t="shared" si="124"/>
        <v>Francia Orozco</v>
      </c>
      <c r="AY332" s="11" t="str">
        <f t="shared" si="124"/>
        <v>Fredy Rojas</v>
      </c>
      <c r="AZ332" s="11" t="str">
        <f t="shared" si="124"/>
        <v>John Quiñonez</v>
      </c>
      <c r="BA332" s="11" t="str">
        <f t="shared" si="124"/>
        <v>Yuli Guzman</v>
      </c>
      <c r="BB332" s="11" t="str">
        <f t="shared" si="124"/>
        <v>Luis Alfredo Plaza</v>
      </c>
      <c r="BC332" s="11" t="str">
        <f t="shared" si="124"/>
        <v>Naty Bermudez</v>
      </c>
      <c r="BD332" s="11" t="str">
        <f t="shared" si="124"/>
        <v>Edgar Ivan Giraldo Duran</v>
      </c>
      <c r="BE332" s="11" t="str">
        <f t="shared" si="124"/>
        <v>Caterine Filigrana</v>
      </c>
      <c r="BF332" s="11" t="str">
        <f t="shared" si="124"/>
        <v>Adriana Belalcazar</v>
      </c>
      <c r="BG332" s="11" t="str">
        <f t="shared" si="124"/>
        <v>Angelisa Hurtado</v>
      </c>
      <c r="BH332" s="11" t="str">
        <f t="shared" si="124"/>
        <v>Isabela Muñoz</v>
      </c>
      <c r="BI332" s="11" t="str">
        <f t="shared" si="124"/>
        <v>Francisco Moreno Alvarez</v>
      </c>
      <c r="BJ332" s="11" t="str">
        <f t="shared" si="124"/>
        <v>Angelica Maria Panesso</v>
      </c>
    </row>
    <row r="333" spans="1:62" ht="20.25" customHeight="1" x14ac:dyDescent="0.25">
      <c r="A333" s="61">
        <v>19</v>
      </c>
      <c r="B333" s="14" t="s">
        <v>117</v>
      </c>
      <c r="C333" s="15"/>
      <c r="D333" s="16">
        <v>3</v>
      </c>
      <c r="E333" s="16">
        <v>3</v>
      </c>
      <c r="F333" s="16">
        <v>5</v>
      </c>
      <c r="G333" s="17">
        <v>3</v>
      </c>
      <c r="H333" s="16">
        <v>2</v>
      </c>
      <c r="I333" s="16">
        <v>3</v>
      </c>
      <c r="J333" s="16">
        <v>3</v>
      </c>
      <c r="K333" s="16">
        <v>3</v>
      </c>
      <c r="L333" s="16">
        <v>2</v>
      </c>
      <c r="M333" s="16">
        <v>2</v>
      </c>
      <c r="N333" s="16">
        <v>2</v>
      </c>
      <c r="O333" s="16">
        <v>3</v>
      </c>
      <c r="P333" s="16">
        <v>2</v>
      </c>
      <c r="Q333" s="16">
        <v>3</v>
      </c>
      <c r="R333" s="17">
        <v>2</v>
      </c>
      <c r="S333" s="16">
        <v>2</v>
      </c>
      <c r="T333" s="16">
        <v>3</v>
      </c>
      <c r="U333" s="16">
        <v>4</v>
      </c>
      <c r="V333" s="16">
        <v>3</v>
      </c>
      <c r="W333" s="16">
        <v>1</v>
      </c>
      <c r="X333" s="16">
        <v>3</v>
      </c>
      <c r="Y333" s="16">
        <v>2</v>
      </c>
      <c r="Z333" s="16">
        <v>3</v>
      </c>
      <c r="AA333" s="17">
        <v>2</v>
      </c>
      <c r="AB333" s="16">
        <v>3</v>
      </c>
      <c r="AC333" s="16">
        <v>3</v>
      </c>
      <c r="AD333" s="17">
        <v>2</v>
      </c>
      <c r="AE333" s="17">
        <v>2</v>
      </c>
      <c r="AF333" s="17">
        <v>3</v>
      </c>
      <c r="AG333" s="16">
        <v>2</v>
      </c>
      <c r="AH333" s="16">
        <v>3</v>
      </c>
      <c r="AI333" s="17">
        <v>2</v>
      </c>
      <c r="AJ333" s="16">
        <v>4</v>
      </c>
      <c r="AK333" s="16">
        <v>4</v>
      </c>
      <c r="AL333" s="16">
        <v>2</v>
      </c>
      <c r="AM333" s="16">
        <v>3</v>
      </c>
      <c r="AN333" s="16">
        <v>3</v>
      </c>
      <c r="AO333" s="16">
        <v>2</v>
      </c>
      <c r="AP333" s="17">
        <v>4</v>
      </c>
      <c r="AQ333" s="16">
        <v>3</v>
      </c>
      <c r="AR333" s="17">
        <v>3</v>
      </c>
      <c r="AS333" s="17">
        <v>2</v>
      </c>
      <c r="AT333" s="16">
        <v>2</v>
      </c>
      <c r="AU333" s="17">
        <v>2</v>
      </c>
      <c r="AV333" s="16">
        <v>3</v>
      </c>
      <c r="AW333" s="16">
        <v>3</v>
      </c>
      <c r="AX333" s="16">
        <v>4</v>
      </c>
      <c r="AY333" s="16">
        <v>2</v>
      </c>
      <c r="AZ333" s="16">
        <v>1</v>
      </c>
      <c r="BA333" s="16">
        <v>1</v>
      </c>
      <c r="BB333" s="16">
        <v>2</v>
      </c>
      <c r="BC333" s="17">
        <v>2</v>
      </c>
      <c r="BD333" s="16">
        <v>3</v>
      </c>
      <c r="BE333" s="17">
        <v>2</v>
      </c>
      <c r="BF333" s="17">
        <v>2</v>
      </c>
      <c r="BG333" s="16">
        <v>2</v>
      </c>
      <c r="BH333" s="17">
        <v>2</v>
      </c>
      <c r="BI333" s="16">
        <v>1</v>
      </c>
      <c r="BJ333" s="16">
        <v>2</v>
      </c>
    </row>
    <row r="334" spans="1:62" ht="24" customHeight="1" x14ac:dyDescent="0.25">
      <c r="A334" s="62"/>
      <c r="B334" s="14" t="s">
        <v>118</v>
      </c>
      <c r="C334" s="15"/>
      <c r="D334" s="16">
        <v>0</v>
      </c>
      <c r="E334" s="16">
        <v>1</v>
      </c>
      <c r="F334" s="16">
        <v>0</v>
      </c>
      <c r="G334" s="17">
        <v>0</v>
      </c>
      <c r="H334" s="16">
        <v>0</v>
      </c>
      <c r="I334" s="16">
        <v>1</v>
      </c>
      <c r="J334" s="16">
        <v>0</v>
      </c>
      <c r="K334" s="16">
        <v>0</v>
      </c>
      <c r="L334" s="16">
        <v>0</v>
      </c>
      <c r="M334" s="16">
        <v>1</v>
      </c>
      <c r="N334" s="16">
        <v>0</v>
      </c>
      <c r="O334" s="16">
        <v>0</v>
      </c>
      <c r="P334" s="16">
        <v>0</v>
      </c>
      <c r="Q334" s="16">
        <v>0</v>
      </c>
      <c r="R334" s="17">
        <v>0</v>
      </c>
      <c r="S334" s="16">
        <v>1</v>
      </c>
      <c r="T334" s="16">
        <v>0</v>
      </c>
      <c r="U334" s="16">
        <v>0</v>
      </c>
      <c r="V334" s="16">
        <v>0</v>
      </c>
      <c r="W334" s="16">
        <v>2</v>
      </c>
      <c r="X334" s="16">
        <v>0</v>
      </c>
      <c r="Y334" s="16">
        <v>0</v>
      </c>
      <c r="Z334" s="16">
        <v>0</v>
      </c>
      <c r="AA334" s="17">
        <v>1</v>
      </c>
      <c r="AB334" s="16">
        <v>0</v>
      </c>
      <c r="AC334" s="16">
        <v>1</v>
      </c>
      <c r="AD334" s="17">
        <v>0</v>
      </c>
      <c r="AE334" s="17">
        <v>1</v>
      </c>
      <c r="AF334" s="17">
        <v>0</v>
      </c>
      <c r="AG334" s="16">
        <v>0</v>
      </c>
      <c r="AH334" s="16">
        <v>0</v>
      </c>
      <c r="AI334" s="17">
        <v>0</v>
      </c>
      <c r="AJ334" s="16">
        <v>0</v>
      </c>
      <c r="AK334" s="16">
        <v>1</v>
      </c>
      <c r="AL334" s="16">
        <v>1</v>
      </c>
      <c r="AM334" s="16">
        <v>0</v>
      </c>
      <c r="AN334" s="16">
        <v>1</v>
      </c>
      <c r="AO334" s="16">
        <v>0</v>
      </c>
      <c r="AP334" s="17">
        <v>1</v>
      </c>
      <c r="AQ334" s="16">
        <v>0</v>
      </c>
      <c r="AR334" s="17">
        <v>1</v>
      </c>
      <c r="AS334" s="17">
        <v>1</v>
      </c>
      <c r="AT334" s="16">
        <v>0</v>
      </c>
      <c r="AU334" s="17">
        <v>0</v>
      </c>
      <c r="AV334" s="16">
        <v>1</v>
      </c>
      <c r="AW334" s="16">
        <v>0</v>
      </c>
      <c r="AX334" s="16">
        <v>1</v>
      </c>
      <c r="AY334" s="16">
        <v>0</v>
      </c>
      <c r="AZ334" s="16">
        <v>0</v>
      </c>
      <c r="BA334" s="16">
        <v>0</v>
      </c>
      <c r="BB334" s="16">
        <v>1</v>
      </c>
      <c r="BC334" s="17">
        <v>0</v>
      </c>
      <c r="BD334" s="16">
        <v>1</v>
      </c>
      <c r="BE334" s="17">
        <v>0</v>
      </c>
      <c r="BF334" s="17">
        <v>0</v>
      </c>
      <c r="BG334" s="16">
        <v>0</v>
      </c>
      <c r="BH334" s="17">
        <v>1</v>
      </c>
      <c r="BI334" s="16">
        <v>1</v>
      </c>
      <c r="BJ334" s="16">
        <v>0</v>
      </c>
    </row>
    <row r="335" spans="1:62" ht="15.75" customHeight="1" x14ac:dyDescent="0.25">
      <c r="A335" s="62"/>
      <c r="B335" s="18">
        <v>46189</v>
      </c>
      <c r="C335" s="60" t="s">
        <v>65</v>
      </c>
      <c r="D335" s="55">
        <f t="shared" ref="D335:BJ335" si="126">IF($C333="",0,IF(AND(D333=$C333,D334=$C334),5,IF(OR(AND(D333-D334&gt;0,$C333-$C334&gt;0),AND(D334-D333&gt;0,$C334-$C333&gt;0),AND(D333-D334=0,$C333-$C334=0)),2,0)+IF(OR(D333=$C333,D334=$C334),1,0)))</f>
        <v>0</v>
      </c>
      <c r="E335" s="55">
        <f t="shared" si="126"/>
        <v>0</v>
      </c>
      <c r="F335" s="55">
        <f t="shared" si="126"/>
        <v>0</v>
      </c>
      <c r="G335" s="55">
        <f t="shared" si="126"/>
        <v>0</v>
      </c>
      <c r="H335" s="55">
        <f t="shared" si="126"/>
        <v>0</v>
      </c>
      <c r="I335" s="55">
        <f t="shared" si="126"/>
        <v>0</v>
      </c>
      <c r="J335" s="55">
        <f t="shared" si="126"/>
        <v>0</v>
      </c>
      <c r="K335" s="55">
        <f t="shared" si="126"/>
        <v>0</v>
      </c>
      <c r="L335" s="55">
        <f t="shared" si="126"/>
        <v>0</v>
      </c>
      <c r="M335" s="55">
        <f t="shared" si="126"/>
        <v>0</v>
      </c>
      <c r="N335" s="55">
        <f t="shared" si="126"/>
        <v>0</v>
      </c>
      <c r="O335" s="55">
        <f t="shared" si="126"/>
        <v>0</v>
      </c>
      <c r="P335" s="55">
        <f t="shared" si="126"/>
        <v>0</v>
      </c>
      <c r="Q335" s="55">
        <f t="shared" si="126"/>
        <v>0</v>
      </c>
      <c r="R335" s="55">
        <f t="shared" si="126"/>
        <v>0</v>
      </c>
      <c r="S335" s="55">
        <f t="shared" si="126"/>
        <v>0</v>
      </c>
      <c r="T335" s="55">
        <f t="shared" si="126"/>
        <v>0</v>
      </c>
      <c r="U335" s="55">
        <f t="shared" si="126"/>
        <v>0</v>
      </c>
      <c r="V335" s="55">
        <f t="shared" si="126"/>
        <v>0</v>
      </c>
      <c r="W335" s="55">
        <f t="shared" si="126"/>
        <v>0</v>
      </c>
      <c r="X335" s="55">
        <f t="shared" si="126"/>
        <v>0</v>
      </c>
      <c r="Y335" s="55">
        <f t="shared" si="126"/>
        <v>0</v>
      </c>
      <c r="Z335" s="55">
        <f t="shared" si="126"/>
        <v>0</v>
      </c>
      <c r="AA335" s="55">
        <f t="shared" si="126"/>
        <v>0</v>
      </c>
      <c r="AB335" s="55">
        <f t="shared" si="126"/>
        <v>0</v>
      </c>
      <c r="AC335" s="55">
        <f t="shared" si="126"/>
        <v>0</v>
      </c>
      <c r="AD335" s="55">
        <f t="shared" si="126"/>
        <v>0</v>
      </c>
      <c r="AE335" s="55">
        <f t="shared" si="126"/>
        <v>0</v>
      </c>
      <c r="AF335" s="55">
        <f t="shared" si="126"/>
        <v>0</v>
      </c>
      <c r="AG335" s="55">
        <f t="shared" si="126"/>
        <v>0</v>
      </c>
      <c r="AH335" s="55">
        <f t="shared" si="126"/>
        <v>0</v>
      </c>
      <c r="AI335" s="55">
        <f t="shared" si="126"/>
        <v>0</v>
      </c>
      <c r="AJ335" s="55">
        <f t="shared" si="126"/>
        <v>0</v>
      </c>
      <c r="AK335" s="55">
        <f t="shared" si="126"/>
        <v>0</v>
      </c>
      <c r="AL335" s="55">
        <f t="shared" si="126"/>
        <v>0</v>
      </c>
      <c r="AM335" s="55">
        <f t="shared" si="126"/>
        <v>0</v>
      </c>
      <c r="AN335" s="55">
        <f t="shared" si="126"/>
        <v>0</v>
      </c>
      <c r="AO335" s="55">
        <f t="shared" si="126"/>
        <v>0</v>
      </c>
      <c r="AP335" s="55">
        <f t="shared" si="126"/>
        <v>0</v>
      </c>
      <c r="AQ335" s="55">
        <f t="shared" ref="AQ335" si="127">IF($C333="",0,IF(AND(AQ333=$C333,AQ334=$C334),5,IF(OR(AND(AQ333-AQ334&gt;0,$C333-$C334&gt;0),AND(AQ334-AQ333&gt;0,$C334-$C333&gt;0),AND(AQ333-AQ334=0,$C333-$C334=0)),2,0)+IF(OR(AQ333=$C333,AQ334=$C334),1,0)))</f>
        <v>0</v>
      </c>
      <c r="AR335" s="55">
        <f t="shared" si="126"/>
        <v>0</v>
      </c>
      <c r="AS335" s="55">
        <f t="shared" si="126"/>
        <v>0</v>
      </c>
      <c r="AT335" s="55">
        <f t="shared" si="126"/>
        <v>0</v>
      </c>
      <c r="AU335" s="55">
        <f t="shared" si="126"/>
        <v>0</v>
      </c>
      <c r="AV335" s="55">
        <f t="shared" si="126"/>
        <v>0</v>
      </c>
      <c r="AW335" s="55">
        <f t="shared" si="126"/>
        <v>0</v>
      </c>
      <c r="AX335" s="55">
        <f t="shared" si="126"/>
        <v>0</v>
      </c>
      <c r="AY335" s="55">
        <f t="shared" si="126"/>
        <v>0</v>
      </c>
      <c r="AZ335" s="55">
        <f t="shared" si="126"/>
        <v>0</v>
      </c>
      <c r="BA335" s="55">
        <f t="shared" si="126"/>
        <v>0</v>
      </c>
      <c r="BB335" s="55">
        <f t="shared" si="126"/>
        <v>0</v>
      </c>
      <c r="BC335" s="55">
        <f t="shared" si="126"/>
        <v>0</v>
      </c>
      <c r="BD335" s="55">
        <f t="shared" si="126"/>
        <v>0</v>
      </c>
      <c r="BE335" s="55">
        <f t="shared" si="126"/>
        <v>0</v>
      </c>
      <c r="BF335" s="55">
        <f t="shared" si="126"/>
        <v>0</v>
      </c>
      <c r="BG335" s="55">
        <f t="shared" si="126"/>
        <v>0</v>
      </c>
      <c r="BH335" s="55">
        <f t="shared" si="126"/>
        <v>0</v>
      </c>
      <c r="BI335" s="55">
        <f t="shared" si="126"/>
        <v>0</v>
      </c>
      <c r="BJ335" s="55">
        <f t="shared" si="126"/>
        <v>0</v>
      </c>
    </row>
    <row r="336" spans="1:62" ht="15.75" customHeight="1" x14ac:dyDescent="0.25">
      <c r="A336" s="62"/>
      <c r="B336" s="19">
        <v>0.83333333333333337</v>
      </c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</row>
    <row r="337" spans="1:62" ht="15.75" customHeight="1" x14ac:dyDescent="0.25">
      <c r="A337" s="13"/>
      <c r="B337" s="13"/>
      <c r="C337" s="13"/>
      <c r="D337" s="2"/>
      <c r="E337" s="2"/>
      <c r="F337" s="2"/>
      <c r="G337" s="2"/>
      <c r="H337" s="3"/>
      <c r="I337" s="3"/>
      <c r="J337" s="3"/>
    </row>
    <row r="338" spans="1:62" ht="22.5" customHeight="1" x14ac:dyDescent="0.25">
      <c r="A338" s="61">
        <v>20</v>
      </c>
      <c r="B338" s="14" t="s">
        <v>119</v>
      </c>
      <c r="C338" s="15"/>
      <c r="D338" s="16">
        <v>2</v>
      </c>
      <c r="E338" s="16">
        <v>2</v>
      </c>
      <c r="F338" s="16">
        <v>2</v>
      </c>
      <c r="G338" s="17">
        <v>2</v>
      </c>
      <c r="H338" s="16">
        <v>3</v>
      </c>
      <c r="I338" s="16">
        <v>0</v>
      </c>
      <c r="J338" s="16">
        <v>2</v>
      </c>
      <c r="K338" s="16">
        <v>2</v>
      </c>
      <c r="L338" s="16">
        <v>2</v>
      </c>
      <c r="M338" s="16">
        <v>2</v>
      </c>
      <c r="N338" s="16">
        <v>2</v>
      </c>
      <c r="O338" s="16">
        <v>2</v>
      </c>
      <c r="P338" s="16">
        <v>2</v>
      </c>
      <c r="Q338" s="16">
        <v>2</v>
      </c>
      <c r="R338" s="17">
        <v>1</v>
      </c>
      <c r="S338" s="16">
        <v>2</v>
      </c>
      <c r="T338" s="16">
        <v>1</v>
      </c>
      <c r="U338" s="16">
        <v>2</v>
      </c>
      <c r="V338" s="16">
        <v>2</v>
      </c>
      <c r="W338" s="16">
        <v>1</v>
      </c>
      <c r="X338" s="16">
        <v>2</v>
      </c>
      <c r="Y338" s="16">
        <v>2</v>
      </c>
      <c r="Z338" s="16">
        <v>2</v>
      </c>
      <c r="AA338" s="17">
        <v>2</v>
      </c>
      <c r="AB338" s="16">
        <v>2</v>
      </c>
      <c r="AC338" s="16">
        <v>2</v>
      </c>
      <c r="AD338" s="17">
        <v>2</v>
      </c>
      <c r="AE338" s="17">
        <v>3</v>
      </c>
      <c r="AF338" s="17">
        <v>2</v>
      </c>
      <c r="AG338" s="16">
        <v>2</v>
      </c>
      <c r="AH338" s="16">
        <v>2</v>
      </c>
      <c r="AI338" s="17">
        <v>2</v>
      </c>
      <c r="AJ338" s="16">
        <v>2</v>
      </c>
      <c r="AK338" s="16">
        <v>2</v>
      </c>
      <c r="AL338" s="16">
        <v>1</v>
      </c>
      <c r="AM338" s="16">
        <v>3</v>
      </c>
      <c r="AN338" s="16">
        <v>2</v>
      </c>
      <c r="AO338" s="16">
        <v>3</v>
      </c>
      <c r="AP338" s="17">
        <v>2</v>
      </c>
      <c r="AQ338" s="16">
        <v>2</v>
      </c>
      <c r="AR338" s="17">
        <v>3</v>
      </c>
      <c r="AS338" s="17">
        <v>0</v>
      </c>
      <c r="AT338" s="16">
        <v>2</v>
      </c>
      <c r="AU338" s="17">
        <v>2</v>
      </c>
      <c r="AV338" s="16">
        <v>2</v>
      </c>
      <c r="AW338" s="16">
        <v>1</v>
      </c>
      <c r="AX338" s="16">
        <v>1</v>
      </c>
      <c r="AY338" s="16">
        <v>2</v>
      </c>
      <c r="AZ338" s="16">
        <v>2</v>
      </c>
      <c r="BA338" s="16">
        <v>1</v>
      </c>
      <c r="BB338" s="16">
        <v>3</v>
      </c>
      <c r="BC338" s="17">
        <v>1</v>
      </c>
      <c r="BD338" s="16">
        <v>2</v>
      </c>
      <c r="BE338" s="17">
        <v>1</v>
      </c>
      <c r="BF338" s="17">
        <v>2</v>
      </c>
      <c r="BG338" s="16">
        <v>2</v>
      </c>
      <c r="BH338" s="17">
        <v>2</v>
      </c>
      <c r="BI338" s="16">
        <v>3</v>
      </c>
      <c r="BJ338" s="16">
        <v>1</v>
      </c>
    </row>
    <row r="339" spans="1:62" ht="21" customHeight="1" x14ac:dyDescent="0.25">
      <c r="A339" s="62"/>
      <c r="B339" s="14" t="s">
        <v>120</v>
      </c>
      <c r="C339" s="15"/>
      <c r="D339" s="16">
        <v>0</v>
      </c>
      <c r="E339" s="16">
        <v>0</v>
      </c>
      <c r="F339" s="16">
        <v>1</v>
      </c>
      <c r="G339" s="17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1</v>
      </c>
      <c r="R339" s="17">
        <v>0</v>
      </c>
      <c r="S339" s="16">
        <v>0</v>
      </c>
      <c r="T339" s="16">
        <v>1</v>
      </c>
      <c r="U339" s="16">
        <v>0</v>
      </c>
      <c r="V339" s="16">
        <v>0</v>
      </c>
      <c r="W339" s="16">
        <v>1</v>
      </c>
      <c r="X339" s="16">
        <v>0</v>
      </c>
      <c r="Y339" s="16">
        <v>0</v>
      </c>
      <c r="Z339" s="16">
        <v>1</v>
      </c>
      <c r="AA339" s="17">
        <v>1</v>
      </c>
      <c r="AB339" s="16">
        <v>0</v>
      </c>
      <c r="AC339" s="16">
        <v>0</v>
      </c>
      <c r="AD339" s="17">
        <v>1</v>
      </c>
      <c r="AE339" s="17">
        <v>0</v>
      </c>
      <c r="AF339" s="17">
        <v>0</v>
      </c>
      <c r="AG339" s="16">
        <v>0</v>
      </c>
      <c r="AH339" s="16">
        <v>0</v>
      </c>
      <c r="AI339" s="17">
        <v>1</v>
      </c>
      <c r="AJ339" s="16">
        <v>0</v>
      </c>
      <c r="AK339" s="16">
        <v>0</v>
      </c>
      <c r="AL339" s="16">
        <v>1</v>
      </c>
      <c r="AM339" s="16">
        <v>1</v>
      </c>
      <c r="AN339" s="16">
        <v>0</v>
      </c>
      <c r="AO339" s="16">
        <v>1</v>
      </c>
      <c r="AP339" s="17">
        <v>0</v>
      </c>
      <c r="AQ339" s="16">
        <v>0</v>
      </c>
      <c r="AR339" s="17">
        <v>1</v>
      </c>
      <c r="AS339" s="17">
        <v>0</v>
      </c>
      <c r="AT339" s="16">
        <v>1</v>
      </c>
      <c r="AU339" s="17">
        <v>0</v>
      </c>
      <c r="AV339" s="16">
        <v>0</v>
      </c>
      <c r="AW339" s="16">
        <v>0</v>
      </c>
      <c r="AX339" s="16">
        <v>1</v>
      </c>
      <c r="AY339" s="16">
        <v>1</v>
      </c>
      <c r="AZ339" s="16">
        <v>0</v>
      </c>
      <c r="BA339" s="16">
        <v>2</v>
      </c>
      <c r="BB339" s="16">
        <v>0</v>
      </c>
      <c r="BC339" s="17">
        <v>1</v>
      </c>
      <c r="BD339" s="16">
        <v>1</v>
      </c>
      <c r="BE339" s="17">
        <v>1</v>
      </c>
      <c r="BF339" s="17">
        <v>0</v>
      </c>
      <c r="BG339" s="16">
        <v>0</v>
      </c>
      <c r="BH339" s="17">
        <v>0</v>
      </c>
      <c r="BI339" s="16">
        <v>1</v>
      </c>
      <c r="BJ339" s="16">
        <v>0</v>
      </c>
    </row>
    <row r="340" spans="1:62" ht="15.75" customHeight="1" x14ac:dyDescent="0.25">
      <c r="A340" s="62"/>
      <c r="B340" s="18">
        <v>46190</v>
      </c>
      <c r="C340" s="60" t="s">
        <v>65</v>
      </c>
      <c r="D340" s="55">
        <f t="shared" ref="D340:BJ340" si="128">IF($C338="",0,IF(AND(D338=$C338,D339=$C339),5,IF(OR(AND(D338-D339&gt;0,$C338-$C339&gt;0),AND(D339-D338&gt;0,$C339-$C338&gt;0),AND(D338-D339=0,$C338-$C339=0)),2,0)+IF(OR(D338=$C338,D339=$C339),1,0)))</f>
        <v>0</v>
      </c>
      <c r="E340" s="55">
        <f t="shared" si="128"/>
        <v>0</v>
      </c>
      <c r="F340" s="55">
        <f t="shared" si="128"/>
        <v>0</v>
      </c>
      <c r="G340" s="55">
        <f t="shared" si="128"/>
        <v>0</v>
      </c>
      <c r="H340" s="55">
        <f t="shared" si="128"/>
        <v>0</v>
      </c>
      <c r="I340" s="55">
        <f t="shared" si="128"/>
        <v>0</v>
      </c>
      <c r="J340" s="55">
        <f t="shared" si="128"/>
        <v>0</v>
      </c>
      <c r="K340" s="55">
        <f t="shared" si="128"/>
        <v>0</v>
      </c>
      <c r="L340" s="55">
        <f t="shared" si="128"/>
        <v>0</v>
      </c>
      <c r="M340" s="55">
        <f t="shared" si="128"/>
        <v>0</v>
      </c>
      <c r="N340" s="55">
        <f t="shared" si="128"/>
        <v>0</v>
      </c>
      <c r="O340" s="55">
        <f t="shared" si="128"/>
        <v>0</v>
      </c>
      <c r="P340" s="55">
        <f t="shared" si="128"/>
        <v>0</v>
      </c>
      <c r="Q340" s="55">
        <f t="shared" si="128"/>
        <v>0</v>
      </c>
      <c r="R340" s="55">
        <f t="shared" si="128"/>
        <v>0</v>
      </c>
      <c r="S340" s="55">
        <f t="shared" si="128"/>
        <v>0</v>
      </c>
      <c r="T340" s="55">
        <f t="shared" si="128"/>
        <v>0</v>
      </c>
      <c r="U340" s="55">
        <f t="shared" si="128"/>
        <v>0</v>
      </c>
      <c r="V340" s="55">
        <f t="shared" si="128"/>
        <v>0</v>
      </c>
      <c r="W340" s="55">
        <f t="shared" si="128"/>
        <v>0</v>
      </c>
      <c r="X340" s="55">
        <f t="shared" si="128"/>
        <v>0</v>
      </c>
      <c r="Y340" s="55">
        <f t="shared" si="128"/>
        <v>0</v>
      </c>
      <c r="Z340" s="55">
        <f t="shared" si="128"/>
        <v>0</v>
      </c>
      <c r="AA340" s="55">
        <f t="shared" si="128"/>
        <v>0</v>
      </c>
      <c r="AB340" s="55">
        <f t="shared" si="128"/>
        <v>0</v>
      </c>
      <c r="AC340" s="55">
        <f t="shared" si="128"/>
        <v>0</v>
      </c>
      <c r="AD340" s="55">
        <f t="shared" si="128"/>
        <v>0</v>
      </c>
      <c r="AE340" s="55">
        <f t="shared" si="128"/>
        <v>0</v>
      </c>
      <c r="AF340" s="55">
        <f t="shared" si="128"/>
        <v>0</v>
      </c>
      <c r="AG340" s="55">
        <f t="shared" si="128"/>
        <v>0</v>
      </c>
      <c r="AH340" s="55">
        <f t="shared" si="128"/>
        <v>0</v>
      </c>
      <c r="AI340" s="55">
        <f t="shared" si="128"/>
        <v>0</v>
      </c>
      <c r="AJ340" s="55">
        <f t="shared" si="128"/>
        <v>0</v>
      </c>
      <c r="AK340" s="55">
        <f t="shared" si="128"/>
        <v>0</v>
      </c>
      <c r="AL340" s="55">
        <f t="shared" si="128"/>
        <v>0</v>
      </c>
      <c r="AM340" s="55">
        <f t="shared" si="128"/>
        <v>0</v>
      </c>
      <c r="AN340" s="55">
        <f t="shared" si="128"/>
        <v>0</v>
      </c>
      <c r="AO340" s="55">
        <f t="shared" si="128"/>
        <v>0</v>
      </c>
      <c r="AP340" s="55">
        <f t="shared" si="128"/>
        <v>0</v>
      </c>
      <c r="AQ340" s="55">
        <f t="shared" ref="AQ340" si="129">IF($C338="",0,IF(AND(AQ338=$C338,AQ339=$C339),5,IF(OR(AND(AQ338-AQ339&gt;0,$C338-$C339&gt;0),AND(AQ339-AQ338&gt;0,$C339-$C338&gt;0),AND(AQ338-AQ339=0,$C338-$C339=0)),2,0)+IF(OR(AQ338=$C338,AQ339=$C339),1,0)))</f>
        <v>0</v>
      </c>
      <c r="AR340" s="55">
        <f t="shared" si="128"/>
        <v>0</v>
      </c>
      <c r="AS340" s="55">
        <f t="shared" si="128"/>
        <v>0</v>
      </c>
      <c r="AT340" s="55">
        <f t="shared" si="128"/>
        <v>0</v>
      </c>
      <c r="AU340" s="55">
        <f t="shared" si="128"/>
        <v>0</v>
      </c>
      <c r="AV340" s="55">
        <f t="shared" si="128"/>
        <v>0</v>
      </c>
      <c r="AW340" s="55">
        <f t="shared" si="128"/>
        <v>0</v>
      </c>
      <c r="AX340" s="55">
        <f t="shared" si="128"/>
        <v>0</v>
      </c>
      <c r="AY340" s="55">
        <f t="shared" si="128"/>
        <v>0</v>
      </c>
      <c r="AZ340" s="55">
        <f t="shared" si="128"/>
        <v>0</v>
      </c>
      <c r="BA340" s="55">
        <f t="shared" si="128"/>
        <v>0</v>
      </c>
      <c r="BB340" s="55">
        <f t="shared" si="128"/>
        <v>0</v>
      </c>
      <c r="BC340" s="55">
        <f t="shared" si="128"/>
        <v>0</v>
      </c>
      <c r="BD340" s="55">
        <f t="shared" si="128"/>
        <v>0</v>
      </c>
      <c r="BE340" s="55">
        <f t="shared" si="128"/>
        <v>0</v>
      </c>
      <c r="BF340" s="55">
        <f t="shared" si="128"/>
        <v>0</v>
      </c>
      <c r="BG340" s="55">
        <f t="shared" si="128"/>
        <v>0</v>
      </c>
      <c r="BH340" s="55">
        <f t="shared" si="128"/>
        <v>0</v>
      </c>
      <c r="BI340" s="55">
        <f t="shared" si="128"/>
        <v>0</v>
      </c>
      <c r="BJ340" s="55">
        <f t="shared" si="128"/>
        <v>0</v>
      </c>
    </row>
    <row r="341" spans="1:62" ht="15.75" customHeight="1" x14ac:dyDescent="0.25">
      <c r="A341" s="62"/>
      <c r="B341" s="19">
        <v>0.45833333333333331</v>
      </c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</row>
    <row r="342" spans="1:62" ht="15.75" customHeight="1" x14ac:dyDescent="0.25">
      <c r="A342" s="13"/>
      <c r="B342" s="13"/>
      <c r="C342" s="20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>
        <v>3</v>
      </c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</row>
    <row r="343" spans="1:62" ht="21" customHeight="1" x14ac:dyDescent="0.25">
      <c r="A343" s="61">
        <v>43</v>
      </c>
      <c r="B343" s="14" t="s">
        <v>117</v>
      </c>
      <c r="C343" s="15"/>
      <c r="D343" s="16">
        <v>2</v>
      </c>
      <c r="E343" s="16">
        <v>3</v>
      </c>
      <c r="F343" s="16">
        <v>2</v>
      </c>
      <c r="G343" s="17">
        <v>2</v>
      </c>
      <c r="H343" s="16">
        <v>2</v>
      </c>
      <c r="I343" s="16">
        <v>2</v>
      </c>
      <c r="J343" s="16">
        <v>2</v>
      </c>
      <c r="K343" s="16">
        <v>2</v>
      </c>
      <c r="L343" s="16">
        <v>1</v>
      </c>
      <c r="M343" s="16">
        <v>3</v>
      </c>
      <c r="N343" s="16">
        <v>1</v>
      </c>
      <c r="O343" s="16">
        <v>2</v>
      </c>
      <c r="P343" s="16">
        <v>3</v>
      </c>
      <c r="Q343" s="16">
        <v>4</v>
      </c>
      <c r="R343" s="17">
        <v>2</v>
      </c>
      <c r="S343" s="16">
        <v>2</v>
      </c>
      <c r="T343" s="16">
        <v>2</v>
      </c>
      <c r="U343" s="16">
        <v>3</v>
      </c>
      <c r="V343" s="16">
        <v>2</v>
      </c>
      <c r="W343" s="16">
        <v>2</v>
      </c>
      <c r="X343" s="16">
        <v>2</v>
      </c>
      <c r="Y343" s="16">
        <v>2</v>
      </c>
      <c r="Z343" s="16">
        <v>2</v>
      </c>
      <c r="AA343" s="17">
        <v>1</v>
      </c>
      <c r="AB343" s="16">
        <v>3</v>
      </c>
      <c r="AC343" s="16">
        <v>2</v>
      </c>
      <c r="AD343" s="17">
        <v>3</v>
      </c>
      <c r="AE343" s="17">
        <v>2</v>
      </c>
      <c r="AF343" s="17">
        <v>2</v>
      </c>
      <c r="AG343" s="16">
        <v>2</v>
      </c>
      <c r="AH343" s="16">
        <v>2</v>
      </c>
      <c r="AI343" s="17">
        <v>3</v>
      </c>
      <c r="AJ343" s="16">
        <v>1</v>
      </c>
      <c r="AK343" s="16">
        <v>2</v>
      </c>
      <c r="AL343" s="16">
        <v>3</v>
      </c>
      <c r="AM343" s="16">
        <v>2</v>
      </c>
      <c r="AN343" s="16">
        <v>2</v>
      </c>
      <c r="AO343" s="16">
        <v>2</v>
      </c>
      <c r="AP343" s="17">
        <v>2</v>
      </c>
      <c r="AQ343" s="16">
        <v>2</v>
      </c>
      <c r="AR343" s="17">
        <v>3</v>
      </c>
      <c r="AS343" s="17">
        <v>3</v>
      </c>
      <c r="AT343" s="16">
        <v>2</v>
      </c>
      <c r="AU343" s="17">
        <v>2</v>
      </c>
      <c r="AV343" s="16">
        <v>2</v>
      </c>
      <c r="AW343" s="16">
        <v>3</v>
      </c>
      <c r="AX343" s="16">
        <v>2</v>
      </c>
      <c r="AY343" s="16">
        <v>2</v>
      </c>
      <c r="AZ343" s="16">
        <v>3</v>
      </c>
      <c r="BA343" s="16">
        <v>2</v>
      </c>
      <c r="BB343" s="16">
        <v>0</v>
      </c>
      <c r="BC343" s="17">
        <v>2</v>
      </c>
      <c r="BD343" s="16">
        <v>2</v>
      </c>
      <c r="BE343" s="17">
        <v>2</v>
      </c>
      <c r="BF343" s="17">
        <v>3</v>
      </c>
      <c r="BG343" s="16">
        <v>2</v>
      </c>
      <c r="BH343" s="17">
        <v>2</v>
      </c>
      <c r="BI343" s="16">
        <v>4</v>
      </c>
      <c r="BJ343" s="16">
        <v>2</v>
      </c>
    </row>
    <row r="344" spans="1:62" ht="23.25" customHeight="1" x14ac:dyDescent="0.25">
      <c r="A344" s="62"/>
      <c r="B344" s="14" t="s">
        <v>119</v>
      </c>
      <c r="C344" s="15"/>
      <c r="D344" s="16">
        <v>0</v>
      </c>
      <c r="E344" s="16">
        <v>1</v>
      </c>
      <c r="F344" s="16">
        <v>1</v>
      </c>
      <c r="G344" s="17">
        <v>0</v>
      </c>
      <c r="H344" s="16">
        <v>1</v>
      </c>
      <c r="I344" s="16">
        <v>0</v>
      </c>
      <c r="J344" s="16">
        <v>1</v>
      </c>
      <c r="K344" s="16">
        <v>0</v>
      </c>
      <c r="L344" s="16">
        <v>1</v>
      </c>
      <c r="M344" s="16">
        <v>0</v>
      </c>
      <c r="N344" s="16">
        <v>0</v>
      </c>
      <c r="O344" s="16">
        <v>1</v>
      </c>
      <c r="P344" s="16">
        <v>1</v>
      </c>
      <c r="Q344" s="16">
        <v>1</v>
      </c>
      <c r="R344" s="17">
        <v>0</v>
      </c>
      <c r="S344" s="16">
        <v>0</v>
      </c>
      <c r="T344" s="16">
        <v>0</v>
      </c>
      <c r="U344" s="16">
        <v>1</v>
      </c>
      <c r="V344" s="16">
        <v>1</v>
      </c>
      <c r="W344" s="16">
        <v>0</v>
      </c>
      <c r="X344" s="16">
        <v>1</v>
      </c>
      <c r="Y344" s="16">
        <v>1</v>
      </c>
      <c r="Z344" s="16">
        <v>0</v>
      </c>
      <c r="AA344" s="17">
        <v>1</v>
      </c>
      <c r="AB344" s="16">
        <v>1</v>
      </c>
      <c r="AC344" s="16">
        <v>1</v>
      </c>
      <c r="AD344" s="17">
        <v>0</v>
      </c>
      <c r="AE344" s="17">
        <v>1</v>
      </c>
      <c r="AF344" s="17">
        <v>1</v>
      </c>
      <c r="AG344" s="16">
        <v>1</v>
      </c>
      <c r="AH344" s="16">
        <v>1</v>
      </c>
      <c r="AI344" s="17">
        <v>0</v>
      </c>
      <c r="AJ344" s="16">
        <v>1</v>
      </c>
      <c r="AK344" s="16">
        <v>1</v>
      </c>
      <c r="AL344" s="16">
        <v>0</v>
      </c>
      <c r="AM344" s="16">
        <v>2</v>
      </c>
      <c r="AN344" s="16">
        <v>0</v>
      </c>
      <c r="AO344" s="16">
        <v>1</v>
      </c>
      <c r="AP344" s="17">
        <v>1</v>
      </c>
      <c r="AQ344" s="16">
        <v>0</v>
      </c>
      <c r="AR344" s="17">
        <v>1</v>
      </c>
      <c r="AS344" s="17">
        <v>1</v>
      </c>
      <c r="AT344" s="16">
        <v>1</v>
      </c>
      <c r="AU344" s="17">
        <v>0</v>
      </c>
      <c r="AV344" s="16">
        <v>1</v>
      </c>
      <c r="AW344" s="16">
        <v>1</v>
      </c>
      <c r="AX344" s="16">
        <v>1</v>
      </c>
      <c r="AY344" s="16">
        <v>1</v>
      </c>
      <c r="AZ344" s="16">
        <v>1</v>
      </c>
      <c r="BA344" s="16">
        <v>1</v>
      </c>
      <c r="BB344" s="16">
        <v>0</v>
      </c>
      <c r="BC344" s="17">
        <v>1</v>
      </c>
      <c r="BD344" s="16">
        <v>0</v>
      </c>
      <c r="BE344" s="17">
        <v>0</v>
      </c>
      <c r="BF344" s="17">
        <v>1</v>
      </c>
      <c r="BG344" s="16">
        <v>1</v>
      </c>
      <c r="BH344" s="17">
        <v>0</v>
      </c>
      <c r="BI344" s="16">
        <v>2</v>
      </c>
      <c r="BJ344" s="16">
        <v>0</v>
      </c>
    </row>
    <row r="345" spans="1:62" ht="15.75" customHeight="1" x14ac:dyDescent="0.25">
      <c r="A345" s="62"/>
      <c r="B345" s="18">
        <v>46195</v>
      </c>
      <c r="C345" s="60" t="s">
        <v>65</v>
      </c>
      <c r="D345" s="55">
        <f t="shared" ref="D345:BJ345" si="130">IF($C343="",0,IF(AND(D343=$C343,D344=$C344),5,IF(OR(AND(D343-D344&gt;0,$C343-$C344&gt;0),AND(D344-D343&gt;0,$C344-$C343&gt;0),AND(D343-D344=0,$C343-$C344=0)),2,0)+IF(OR(D343=$C343,D344=$C344),1,0)))</f>
        <v>0</v>
      </c>
      <c r="E345" s="55">
        <f t="shared" si="130"/>
        <v>0</v>
      </c>
      <c r="F345" s="55">
        <f t="shared" si="130"/>
        <v>0</v>
      </c>
      <c r="G345" s="55">
        <f t="shared" si="130"/>
        <v>0</v>
      </c>
      <c r="H345" s="55">
        <f t="shared" si="130"/>
        <v>0</v>
      </c>
      <c r="I345" s="55">
        <f t="shared" si="130"/>
        <v>0</v>
      </c>
      <c r="J345" s="55">
        <f t="shared" si="130"/>
        <v>0</v>
      </c>
      <c r="K345" s="55">
        <f t="shared" si="130"/>
        <v>0</v>
      </c>
      <c r="L345" s="55">
        <f t="shared" si="130"/>
        <v>0</v>
      </c>
      <c r="M345" s="55">
        <f t="shared" si="130"/>
        <v>0</v>
      </c>
      <c r="N345" s="55">
        <f t="shared" si="130"/>
        <v>0</v>
      </c>
      <c r="O345" s="55">
        <f t="shared" si="130"/>
        <v>0</v>
      </c>
      <c r="P345" s="55">
        <f t="shared" si="130"/>
        <v>0</v>
      </c>
      <c r="Q345" s="55">
        <f t="shared" si="130"/>
        <v>0</v>
      </c>
      <c r="R345" s="55">
        <f t="shared" si="130"/>
        <v>0</v>
      </c>
      <c r="S345" s="55">
        <f t="shared" si="130"/>
        <v>0</v>
      </c>
      <c r="T345" s="55">
        <f t="shared" si="130"/>
        <v>0</v>
      </c>
      <c r="U345" s="55">
        <f t="shared" si="130"/>
        <v>0</v>
      </c>
      <c r="V345" s="55">
        <f t="shared" si="130"/>
        <v>0</v>
      </c>
      <c r="W345" s="55">
        <f t="shared" si="130"/>
        <v>0</v>
      </c>
      <c r="X345" s="55">
        <f t="shared" si="130"/>
        <v>0</v>
      </c>
      <c r="Y345" s="55">
        <f t="shared" si="130"/>
        <v>0</v>
      </c>
      <c r="Z345" s="55">
        <f t="shared" si="130"/>
        <v>0</v>
      </c>
      <c r="AA345" s="55">
        <f t="shared" si="130"/>
        <v>0</v>
      </c>
      <c r="AB345" s="55">
        <f t="shared" si="130"/>
        <v>0</v>
      </c>
      <c r="AC345" s="55">
        <f t="shared" si="130"/>
        <v>0</v>
      </c>
      <c r="AD345" s="55">
        <f t="shared" si="130"/>
        <v>0</v>
      </c>
      <c r="AE345" s="55">
        <f t="shared" si="130"/>
        <v>0</v>
      </c>
      <c r="AF345" s="55">
        <f t="shared" si="130"/>
        <v>0</v>
      </c>
      <c r="AG345" s="55">
        <f t="shared" si="130"/>
        <v>0</v>
      </c>
      <c r="AH345" s="55">
        <f t="shared" si="130"/>
        <v>0</v>
      </c>
      <c r="AI345" s="55">
        <f t="shared" si="130"/>
        <v>0</v>
      </c>
      <c r="AJ345" s="55">
        <f t="shared" si="130"/>
        <v>0</v>
      </c>
      <c r="AK345" s="55">
        <f t="shared" si="130"/>
        <v>0</v>
      </c>
      <c r="AL345" s="55">
        <f t="shared" si="130"/>
        <v>0</v>
      </c>
      <c r="AM345" s="55">
        <f t="shared" si="130"/>
        <v>0</v>
      </c>
      <c r="AN345" s="55">
        <f t="shared" si="130"/>
        <v>0</v>
      </c>
      <c r="AO345" s="55">
        <f t="shared" si="130"/>
        <v>0</v>
      </c>
      <c r="AP345" s="55">
        <f t="shared" si="130"/>
        <v>0</v>
      </c>
      <c r="AQ345" s="55">
        <f t="shared" ref="AQ345" si="131">IF($C343="",0,IF(AND(AQ343=$C343,AQ344=$C344),5,IF(OR(AND(AQ343-AQ344&gt;0,$C343-$C344&gt;0),AND(AQ344-AQ343&gt;0,$C344-$C343&gt;0),AND(AQ343-AQ344=0,$C343-$C344=0)),2,0)+IF(OR(AQ343=$C343,AQ344=$C344),1,0)))</f>
        <v>0</v>
      </c>
      <c r="AR345" s="55">
        <f t="shared" si="130"/>
        <v>0</v>
      </c>
      <c r="AS345" s="55">
        <f t="shared" si="130"/>
        <v>0</v>
      </c>
      <c r="AT345" s="55">
        <f t="shared" si="130"/>
        <v>0</v>
      </c>
      <c r="AU345" s="55">
        <f t="shared" si="130"/>
        <v>0</v>
      </c>
      <c r="AV345" s="55">
        <f t="shared" si="130"/>
        <v>0</v>
      </c>
      <c r="AW345" s="55">
        <f t="shared" si="130"/>
        <v>0</v>
      </c>
      <c r="AX345" s="55">
        <f t="shared" si="130"/>
        <v>0</v>
      </c>
      <c r="AY345" s="55">
        <f t="shared" si="130"/>
        <v>0</v>
      </c>
      <c r="AZ345" s="55">
        <f t="shared" si="130"/>
        <v>0</v>
      </c>
      <c r="BA345" s="55">
        <f t="shared" si="130"/>
        <v>0</v>
      </c>
      <c r="BB345" s="55">
        <f t="shared" si="130"/>
        <v>0</v>
      </c>
      <c r="BC345" s="55">
        <f t="shared" si="130"/>
        <v>0</v>
      </c>
      <c r="BD345" s="55">
        <f t="shared" si="130"/>
        <v>0</v>
      </c>
      <c r="BE345" s="55">
        <f t="shared" si="130"/>
        <v>0</v>
      </c>
      <c r="BF345" s="55">
        <f t="shared" si="130"/>
        <v>0</v>
      </c>
      <c r="BG345" s="55">
        <f t="shared" si="130"/>
        <v>0</v>
      </c>
      <c r="BH345" s="55">
        <f t="shared" si="130"/>
        <v>0</v>
      </c>
      <c r="BI345" s="55">
        <f t="shared" si="130"/>
        <v>0</v>
      </c>
      <c r="BJ345" s="55">
        <f t="shared" si="130"/>
        <v>0</v>
      </c>
    </row>
    <row r="346" spans="1:62" ht="15.75" customHeight="1" x14ac:dyDescent="0.25">
      <c r="A346" s="62"/>
      <c r="B346" s="19" t="s">
        <v>121</v>
      </c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</row>
    <row r="347" spans="1:62" ht="15.75" customHeight="1" x14ac:dyDescent="0.25">
      <c r="A347" s="13"/>
      <c r="B347" s="13"/>
      <c r="C347" s="20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</row>
    <row r="348" spans="1:62" ht="23.25" customHeight="1" x14ac:dyDescent="0.25">
      <c r="A348" s="61">
        <v>44</v>
      </c>
      <c r="B348" s="14" t="s">
        <v>120</v>
      </c>
      <c r="C348" s="15"/>
      <c r="D348" s="16">
        <v>0</v>
      </c>
      <c r="E348" s="16">
        <v>1</v>
      </c>
      <c r="F348" s="16">
        <v>2</v>
      </c>
      <c r="G348" s="17">
        <v>0</v>
      </c>
      <c r="H348" s="16">
        <v>1</v>
      </c>
      <c r="I348" s="16">
        <v>1</v>
      </c>
      <c r="J348" s="16">
        <v>0</v>
      </c>
      <c r="K348" s="16">
        <v>2</v>
      </c>
      <c r="L348" s="16">
        <v>0</v>
      </c>
      <c r="M348" s="16">
        <v>1</v>
      </c>
      <c r="N348" s="16">
        <v>2</v>
      </c>
      <c r="O348" s="16">
        <v>1</v>
      </c>
      <c r="P348" s="16">
        <v>1</v>
      </c>
      <c r="Q348" s="16">
        <v>1</v>
      </c>
      <c r="R348" s="17">
        <v>1</v>
      </c>
      <c r="S348" s="16">
        <v>0</v>
      </c>
      <c r="T348" s="16">
        <v>1</v>
      </c>
      <c r="U348" s="16">
        <v>0</v>
      </c>
      <c r="V348" s="16">
        <v>1</v>
      </c>
      <c r="W348" s="16">
        <v>1</v>
      </c>
      <c r="X348" s="16">
        <v>1</v>
      </c>
      <c r="Y348" s="16">
        <v>0</v>
      </c>
      <c r="Z348" s="16">
        <v>1</v>
      </c>
      <c r="AA348" s="17">
        <v>0</v>
      </c>
      <c r="AB348" s="16">
        <v>0</v>
      </c>
      <c r="AC348" s="16">
        <v>0</v>
      </c>
      <c r="AD348" s="17">
        <v>1</v>
      </c>
      <c r="AE348" s="17">
        <v>0</v>
      </c>
      <c r="AF348" s="17">
        <v>1</v>
      </c>
      <c r="AG348" s="16">
        <v>1</v>
      </c>
      <c r="AH348" s="16">
        <v>0</v>
      </c>
      <c r="AI348" s="17">
        <v>1</v>
      </c>
      <c r="AJ348" s="16">
        <v>0</v>
      </c>
      <c r="AK348" s="16">
        <v>0</v>
      </c>
      <c r="AL348" s="16">
        <v>1</v>
      </c>
      <c r="AM348" s="16">
        <v>1</v>
      </c>
      <c r="AN348" s="16">
        <v>1</v>
      </c>
      <c r="AO348" s="16">
        <v>0</v>
      </c>
      <c r="AP348" s="17">
        <v>0</v>
      </c>
      <c r="AQ348" s="16">
        <v>1</v>
      </c>
      <c r="AR348" s="17">
        <v>1</v>
      </c>
      <c r="AS348" s="17">
        <v>1</v>
      </c>
      <c r="AT348" s="16">
        <v>1</v>
      </c>
      <c r="AU348" s="17">
        <v>0</v>
      </c>
      <c r="AV348" s="16">
        <v>0</v>
      </c>
      <c r="AW348" s="16">
        <v>0</v>
      </c>
      <c r="AX348" s="16">
        <v>1</v>
      </c>
      <c r="AY348" s="16">
        <v>1</v>
      </c>
      <c r="AZ348" s="16">
        <v>0</v>
      </c>
      <c r="BA348" s="16">
        <v>0</v>
      </c>
      <c r="BB348" s="16">
        <v>1</v>
      </c>
      <c r="BC348" s="17">
        <v>1</v>
      </c>
      <c r="BD348" s="16">
        <v>1</v>
      </c>
      <c r="BE348" s="17">
        <v>2</v>
      </c>
      <c r="BF348" s="17">
        <v>1</v>
      </c>
      <c r="BG348" s="16">
        <v>1</v>
      </c>
      <c r="BH348" s="17">
        <v>0</v>
      </c>
      <c r="BI348" s="16">
        <v>0</v>
      </c>
      <c r="BJ348" s="16">
        <v>0</v>
      </c>
    </row>
    <row r="349" spans="1:62" ht="22.5" customHeight="1" x14ac:dyDescent="0.25">
      <c r="A349" s="62"/>
      <c r="B349" s="14" t="s">
        <v>118</v>
      </c>
      <c r="C349" s="15"/>
      <c r="D349" s="16">
        <v>2</v>
      </c>
      <c r="E349" s="16">
        <v>1</v>
      </c>
      <c r="F349" s="16">
        <v>2</v>
      </c>
      <c r="G349" s="17">
        <v>2</v>
      </c>
      <c r="H349" s="16">
        <v>2</v>
      </c>
      <c r="I349" s="16">
        <v>1</v>
      </c>
      <c r="J349" s="16">
        <v>1</v>
      </c>
      <c r="K349" s="16">
        <v>2</v>
      </c>
      <c r="L349" s="16">
        <v>2</v>
      </c>
      <c r="M349" s="16">
        <v>2</v>
      </c>
      <c r="N349" s="16">
        <v>3</v>
      </c>
      <c r="O349" s="16">
        <v>1</v>
      </c>
      <c r="P349" s="16">
        <v>2</v>
      </c>
      <c r="Q349" s="16">
        <v>2</v>
      </c>
      <c r="R349" s="17">
        <v>2</v>
      </c>
      <c r="S349" s="16">
        <v>1</v>
      </c>
      <c r="T349" s="16">
        <v>1</v>
      </c>
      <c r="U349" s="16">
        <v>2</v>
      </c>
      <c r="V349" s="16">
        <v>2</v>
      </c>
      <c r="W349" s="16">
        <v>4</v>
      </c>
      <c r="X349" s="16">
        <v>2</v>
      </c>
      <c r="Y349" s="16">
        <v>1</v>
      </c>
      <c r="Z349" s="16">
        <v>1</v>
      </c>
      <c r="AA349" s="17">
        <v>0</v>
      </c>
      <c r="AB349" s="16">
        <v>2</v>
      </c>
      <c r="AC349" s="16">
        <v>2</v>
      </c>
      <c r="AD349" s="17">
        <v>1</v>
      </c>
      <c r="AE349" s="17">
        <v>2</v>
      </c>
      <c r="AF349" s="17">
        <v>1</v>
      </c>
      <c r="AG349" s="16">
        <v>1</v>
      </c>
      <c r="AH349" s="16">
        <v>2</v>
      </c>
      <c r="AI349" s="17">
        <v>1</v>
      </c>
      <c r="AJ349" s="16">
        <v>0</v>
      </c>
      <c r="AK349" s="16">
        <v>2</v>
      </c>
      <c r="AL349" s="16">
        <v>2</v>
      </c>
      <c r="AM349" s="16">
        <v>1</v>
      </c>
      <c r="AN349" s="16">
        <v>2</v>
      </c>
      <c r="AO349" s="16">
        <v>3</v>
      </c>
      <c r="AP349" s="17">
        <v>1</v>
      </c>
      <c r="AQ349" s="16">
        <v>2</v>
      </c>
      <c r="AR349" s="17">
        <v>2</v>
      </c>
      <c r="AS349" s="17">
        <v>2</v>
      </c>
      <c r="AT349" s="16">
        <v>1</v>
      </c>
      <c r="AU349" s="17">
        <v>1</v>
      </c>
      <c r="AV349" s="16">
        <v>1</v>
      </c>
      <c r="AW349" s="16">
        <v>1</v>
      </c>
      <c r="AX349" s="16">
        <v>2</v>
      </c>
      <c r="AY349" s="16">
        <v>1</v>
      </c>
      <c r="AZ349" s="16">
        <v>2</v>
      </c>
      <c r="BA349" s="16">
        <v>2</v>
      </c>
      <c r="BB349" s="16">
        <v>1</v>
      </c>
      <c r="BC349" s="17">
        <v>1</v>
      </c>
      <c r="BD349" s="16">
        <v>2</v>
      </c>
      <c r="BE349" s="17">
        <v>2</v>
      </c>
      <c r="BF349" s="17">
        <v>2</v>
      </c>
      <c r="BG349" s="16">
        <v>2</v>
      </c>
      <c r="BH349" s="17">
        <v>2</v>
      </c>
      <c r="BI349" s="16">
        <v>1</v>
      </c>
      <c r="BJ349" s="16">
        <v>1</v>
      </c>
    </row>
    <row r="350" spans="1:62" ht="15.75" customHeight="1" x14ac:dyDescent="0.25">
      <c r="A350" s="62"/>
      <c r="B350" s="18">
        <v>46195</v>
      </c>
      <c r="C350" s="60" t="s">
        <v>65</v>
      </c>
      <c r="D350" s="55">
        <f t="shared" ref="D350:BJ350" si="132">IF($C348="",0,IF(AND(D348=$C348,D349=$C349),5,IF(OR(AND(D348-D349&gt;0,$C348-$C349&gt;0),AND(D349-D348&gt;0,$C349-$C348&gt;0),AND(D348-D349=0,$C348-$C349=0)),2,0)+IF(OR(D348=$C348,D349=$C349),1,0)))</f>
        <v>0</v>
      </c>
      <c r="E350" s="55">
        <f t="shared" si="132"/>
        <v>0</v>
      </c>
      <c r="F350" s="55">
        <f t="shared" si="132"/>
        <v>0</v>
      </c>
      <c r="G350" s="55">
        <f t="shared" si="132"/>
        <v>0</v>
      </c>
      <c r="H350" s="55">
        <f t="shared" si="132"/>
        <v>0</v>
      </c>
      <c r="I350" s="55">
        <f t="shared" si="132"/>
        <v>0</v>
      </c>
      <c r="J350" s="55">
        <f t="shared" si="132"/>
        <v>0</v>
      </c>
      <c r="K350" s="55">
        <f t="shared" si="132"/>
        <v>0</v>
      </c>
      <c r="L350" s="55">
        <f t="shared" si="132"/>
        <v>0</v>
      </c>
      <c r="M350" s="55">
        <f t="shared" si="132"/>
        <v>0</v>
      </c>
      <c r="N350" s="55">
        <f t="shared" si="132"/>
        <v>0</v>
      </c>
      <c r="O350" s="55">
        <f t="shared" si="132"/>
        <v>0</v>
      </c>
      <c r="P350" s="55">
        <f t="shared" si="132"/>
        <v>0</v>
      </c>
      <c r="Q350" s="55">
        <f t="shared" si="132"/>
        <v>0</v>
      </c>
      <c r="R350" s="55">
        <f t="shared" si="132"/>
        <v>0</v>
      </c>
      <c r="S350" s="55">
        <f t="shared" si="132"/>
        <v>0</v>
      </c>
      <c r="T350" s="55">
        <f t="shared" si="132"/>
        <v>0</v>
      </c>
      <c r="U350" s="55">
        <f t="shared" si="132"/>
        <v>0</v>
      </c>
      <c r="V350" s="55">
        <f t="shared" si="132"/>
        <v>0</v>
      </c>
      <c r="W350" s="55">
        <f t="shared" si="132"/>
        <v>0</v>
      </c>
      <c r="X350" s="55">
        <f t="shared" si="132"/>
        <v>0</v>
      </c>
      <c r="Y350" s="55">
        <f t="shared" si="132"/>
        <v>0</v>
      </c>
      <c r="Z350" s="55">
        <f t="shared" si="132"/>
        <v>0</v>
      </c>
      <c r="AA350" s="55">
        <f t="shared" si="132"/>
        <v>0</v>
      </c>
      <c r="AB350" s="55">
        <f t="shared" si="132"/>
        <v>0</v>
      </c>
      <c r="AC350" s="55">
        <f t="shared" si="132"/>
        <v>0</v>
      </c>
      <c r="AD350" s="55">
        <f t="shared" si="132"/>
        <v>0</v>
      </c>
      <c r="AE350" s="55">
        <f t="shared" si="132"/>
        <v>0</v>
      </c>
      <c r="AF350" s="55">
        <f t="shared" si="132"/>
        <v>0</v>
      </c>
      <c r="AG350" s="55">
        <f t="shared" si="132"/>
        <v>0</v>
      </c>
      <c r="AH350" s="55">
        <f t="shared" si="132"/>
        <v>0</v>
      </c>
      <c r="AI350" s="55">
        <f t="shared" si="132"/>
        <v>0</v>
      </c>
      <c r="AJ350" s="55">
        <f t="shared" si="132"/>
        <v>0</v>
      </c>
      <c r="AK350" s="55">
        <f t="shared" si="132"/>
        <v>0</v>
      </c>
      <c r="AL350" s="55">
        <f t="shared" si="132"/>
        <v>0</v>
      </c>
      <c r="AM350" s="55">
        <f t="shared" si="132"/>
        <v>0</v>
      </c>
      <c r="AN350" s="55">
        <f t="shared" si="132"/>
        <v>0</v>
      </c>
      <c r="AO350" s="55">
        <f t="shared" si="132"/>
        <v>0</v>
      </c>
      <c r="AP350" s="55">
        <f t="shared" si="132"/>
        <v>0</v>
      </c>
      <c r="AQ350" s="55">
        <f t="shared" ref="AQ350" si="133">IF($C348="",0,IF(AND(AQ348=$C348,AQ349=$C349),5,IF(OR(AND(AQ348-AQ349&gt;0,$C348-$C349&gt;0),AND(AQ349-AQ348&gt;0,$C349-$C348&gt;0),AND(AQ348-AQ349=0,$C348-$C349=0)),2,0)+IF(OR(AQ348=$C348,AQ349=$C349),1,0)))</f>
        <v>0</v>
      </c>
      <c r="AR350" s="55">
        <f t="shared" si="132"/>
        <v>0</v>
      </c>
      <c r="AS350" s="55">
        <f t="shared" si="132"/>
        <v>0</v>
      </c>
      <c r="AT350" s="55">
        <f t="shared" si="132"/>
        <v>0</v>
      </c>
      <c r="AU350" s="55">
        <f t="shared" si="132"/>
        <v>0</v>
      </c>
      <c r="AV350" s="55">
        <f t="shared" si="132"/>
        <v>0</v>
      </c>
      <c r="AW350" s="55">
        <f t="shared" si="132"/>
        <v>0</v>
      </c>
      <c r="AX350" s="55">
        <f t="shared" si="132"/>
        <v>0</v>
      </c>
      <c r="AY350" s="55">
        <f t="shared" si="132"/>
        <v>0</v>
      </c>
      <c r="AZ350" s="55">
        <f t="shared" si="132"/>
        <v>0</v>
      </c>
      <c r="BA350" s="55">
        <f t="shared" si="132"/>
        <v>0</v>
      </c>
      <c r="BB350" s="55">
        <f t="shared" si="132"/>
        <v>0</v>
      </c>
      <c r="BC350" s="55">
        <f t="shared" si="132"/>
        <v>0</v>
      </c>
      <c r="BD350" s="55">
        <f t="shared" si="132"/>
        <v>0</v>
      </c>
      <c r="BE350" s="55">
        <f t="shared" si="132"/>
        <v>0</v>
      </c>
      <c r="BF350" s="55">
        <f t="shared" si="132"/>
        <v>0</v>
      </c>
      <c r="BG350" s="55">
        <f t="shared" si="132"/>
        <v>0</v>
      </c>
      <c r="BH350" s="55">
        <f t="shared" si="132"/>
        <v>0</v>
      </c>
      <c r="BI350" s="55">
        <f t="shared" si="132"/>
        <v>0</v>
      </c>
      <c r="BJ350" s="55">
        <f t="shared" si="132"/>
        <v>0</v>
      </c>
    </row>
    <row r="351" spans="1:62" ht="15.75" customHeight="1" x14ac:dyDescent="0.25">
      <c r="A351" s="62"/>
      <c r="B351" s="19">
        <v>0.91666666666666663</v>
      </c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</row>
    <row r="352" spans="1:62" ht="15.75" customHeight="1" x14ac:dyDescent="0.25">
      <c r="A352" s="23"/>
    </row>
    <row r="353" spans="1:62" ht="21" customHeight="1" x14ac:dyDescent="0.25">
      <c r="A353" s="61">
        <v>69</v>
      </c>
      <c r="B353" s="14" t="s">
        <v>118</v>
      </c>
      <c r="C353" s="15"/>
      <c r="D353" s="16">
        <v>1</v>
      </c>
      <c r="E353" s="16">
        <v>1</v>
      </c>
      <c r="F353" s="16">
        <v>0</v>
      </c>
      <c r="G353" s="17">
        <v>1</v>
      </c>
      <c r="H353" s="16">
        <v>1</v>
      </c>
      <c r="I353" s="16">
        <v>1</v>
      </c>
      <c r="J353" s="16">
        <v>1</v>
      </c>
      <c r="K353" s="16">
        <v>0</v>
      </c>
      <c r="L353" s="16">
        <v>1</v>
      </c>
      <c r="M353" s="16">
        <v>1</v>
      </c>
      <c r="N353" s="16">
        <v>2</v>
      </c>
      <c r="O353" s="16">
        <v>1</v>
      </c>
      <c r="P353" s="16">
        <v>1</v>
      </c>
      <c r="Q353" s="16">
        <v>1</v>
      </c>
      <c r="R353" s="17">
        <v>1</v>
      </c>
      <c r="S353" s="16">
        <v>1</v>
      </c>
      <c r="T353" s="16">
        <v>1</v>
      </c>
      <c r="U353" s="16">
        <v>1</v>
      </c>
      <c r="V353" s="16">
        <v>1</v>
      </c>
      <c r="W353" s="16">
        <v>2</v>
      </c>
      <c r="X353" s="16">
        <v>0</v>
      </c>
      <c r="Y353" s="16">
        <v>1</v>
      </c>
      <c r="Z353" s="16">
        <v>1</v>
      </c>
      <c r="AA353" s="17">
        <v>2</v>
      </c>
      <c r="AB353" s="16">
        <v>1</v>
      </c>
      <c r="AC353" s="16">
        <v>1</v>
      </c>
      <c r="AD353" s="17">
        <v>2</v>
      </c>
      <c r="AE353" s="17">
        <v>1</v>
      </c>
      <c r="AF353" s="17">
        <v>0</v>
      </c>
      <c r="AG353" s="16">
        <v>1</v>
      </c>
      <c r="AH353" s="16">
        <v>1</v>
      </c>
      <c r="AI353" s="17">
        <v>2</v>
      </c>
      <c r="AJ353" s="16">
        <v>1</v>
      </c>
      <c r="AK353" s="16">
        <v>0</v>
      </c>
      <c r="AL353" s="16">
        <v>1</v>
      </c>
      <c r="AM353" s="16">
        <v>0</v>
      </c>
      <c r="AN353" s="16">
        <v>1</v>
      </c>
      <c r="AO353" s="16">
        <v>1</v>
      </c>
      <c r="AP353" s="17">
        <v>1</v>
      </c>
      <c r="AQ353" s="16">
        <v>1</v>
      </c>
      <c r="AR353" s="17">
        <v>2</v>
      </c>
      <c r="AS353" s="17">
        <v>2</v>
      </c>
      <c r="AT353" s="16">
        <v>0</v>
      </c>
      <c r="AU353" s="17">
        <v>1</v>
      </c>
      <c r="AV353" s="16">
        <v>0</v>
      </c>
      <c r="AW353" s="16">
        <v>0</v>
      </c>
      <c r="AX353" s="16">
        <v>2</v>
      </c>
      <c r="AY353" s="16">
        <v>1</v>
      </c>
      <c r="AZ353" s="16">
        <v>1</v>
      </c>
      <c r="BA353" s="16">
        <v>1</v>
      </c>
      <c r="BB353" s="16">
        <v>0</v>
      </c>
      <c r="BC353" s="17">
        <v>1</v>
      </c>
      <c r="BD353" s="16">
        <v>1</v>
      </c>
      <c r="BE353" s="17">
        <v>1</v>
      </c>
      <c r="BF353" s="17">
        <v>1</v>
      </c>
      <c r="BG353" s="16">
        <v>2</v>
      </c>
      <c r="BH353" s="17">
        <v>1</v>
      </c>
      <c r="BI353" s="16">
        <v>2</v>
      </c>
      <c r="BJ353" s="16">
        <v>2</v>
      </c>
    </row>
    <row r="354" spans="1:62" ht="22.5" customHeight="1" x14ac:dyDescent="0.25">
      <c r="A354" s="62"/>
      <c r="B354" s="14" t="s">
        <v>119</v>
      </c>
      <c r="C354" s="15"/>
      <c r="D354" s="16">
        <v>1</v>
      </c>
      <c r="E354" s="16">
        <v>3</v>
      </c>
      <c r="F354" s="16">
        <v>0</v>
      </c>
      <c r="G354" s="17">
        <v>1</v>
      </c>
      <c r="H354" s="16">
        <v>1</v>
      </c>
      <c r="I354" s="16">
        <v>2</v>
      </c>
      <c r="J354" s="16">
        <v>2</v>
      </c>
      <c r="K354" s="16">
        <v>0</v>
      </c>
      <c r="L354" s="16">
        <v>2</v>
      </c>
      <c r="M354" s="16">
        <v>1</v>
      </c>
      <c r="N354" s="16">
        <v>2</v>
      </c>
      <c r="O354" s="16">
        <v>2</v>
      </c>
      <c r="P354" s="16">
        <v>1</v>
      </c>
      <c r="Q354" s="16">
        <v>1</v>
      </c>
      <c r="R354" s="17">
        <v>1</v>
      </c>
      <c r="S354" s="16">
        <v>1</v>
      </c>
      <c r="T354" s="16">
        <v>1</v>
      </c>
      <c r="U354" s="16">
        <v>2</v>
      </c>
      <c r="V354" s="16">
        <v>1</v>
      </c>
      <c r="W354" s="16">
        <v>0</v>
      </c>
      <c r="X354" s="16">
        <v>3</v>
      </c>
      <c r="Y354" s="16">
        <v>1</v>
      </c>
      <c r="Z354" s="16">
        <v>2</v>
      </c>
      <c r="AA354" s="17">
        <v>2</v>
      </c>
      <c r="AB354" s="16">
        <v>2</v>
      </c>
      <c r="AC354" s="16">
        <v>1</v>
      </c>
      <c r="AD354" s="17">
        <v>2</v>
      </c>
      <c r="AE354" s="17">
        <v>2</v>
      </c>
      <c r="AF354" s="17">
        <v>2</v>
      </c>
      <c r="AG354" s="16">
        <v>1</v>
      </c>
      <c r="AH354" s="16">
        <v>2</v>
      </c>
      <c r="AI354" s="17">
        <v>2</v>
      </c>
      <c r="AJ354" s="16">
        <v>2</v>
      </c>
      <c r="AK354" s="16">
        <v>1</v>
      </c>
      <c r="AL354" s="16">
        <v>3</v>
      </c>
      <c r="AM354" s="16">
        <v>3</v>
      </c>
      <c r="AN354" s="16">
        <v>1</v>
      </c>
      <c r="AO354" s="16">
        <v>2</v>
      </c>
      <c r="AP354" s="17">
        <v>1</v>
      </c>
      <c r="AQ354" s="16">
        <v>1</v>
      </c>
      <c r="AR354" s="17">
        <v>3</v>
      </c>
      <c r="AS354" s="17">
        <v>1</v>
      </c>
      <c r="AT354" s="16">
        <v>1</v>
      </c>
      <c r="AU354" s="17">
        <v>1</v>
      </c>
      <c r="AV354" s="16">
        <v>1</v>
      </c>
      <c r="AW354" s="16">
        <v>2</v>
      </c>
      <c r="AX354" s="16">
        <v>1</v>
      </c>
      <c r="AY354" s="16">
        <v>0</v>
      </c>
      <c r="AZ354" s="16">
        <v>1</v>
      </c>
      <c r="BA354" s="16">
        <v>2</v>
      </c>
      <c r="BB354" s="16">
        <v>2</v>
      </c>
      <c r="BC354" s="17">
        <v>2</v>
      </c>
      <c r="BD354" s="16">
        <v>2</v>
      </c>
      <c r="BE354" s="17">
        <v>1</v>
      </c>
      <c r="BF354" s="17">
        <v>2</v>
      </c>
      <c r="BG354" s="16">
        <v>2</v>
      </c>
      <c r="BH354" s="17">
        <v>1</v>
      </c>
      <c r="BI354" s="16">
        <v>2</v>
      </c>
      <c r="BJ354" s="16">
        <v>1</v>
      </c>
    </row>
    <row r="355" spans="1:62" ht="15.75" customHeight="1" x14ac:dyDescent="0.25">
      <c r="A355" s="62"/>
      <c r="B355" s="18">
        <v>46200</v>
      </c>
      <c r="C355" s="60" t="s">
        <v>65</v>
      </c>
      <c r="D355" s="55">
        <f t="shared" ref="D355:BJ355" si="134">IF($C353="",0,IF(AND(D353=$C353,D354=$C354),5,IF(OR(AND(D353-D354&gt;0,$C353-$C354&gt;0),AND(D354-D353&gt;0,$C354-$C353&gt;0),AND(D353-D354=0,$C353-$C354=0)),2,0)+IF(OR(D353=$C353,D354=$C354),1,0)))</f>
        <v>0</v>
      </c>
      <c r="E355" s="55">
        <f t="shared" si="134"/>
        <v>0</v>
      </c>
      <c r="F355" s="55">
        <f t="shared" si="134"/>
        <v>0</v>
      </c>
      <c r="G355" s="55">
        <f t="shared" si="134"/>
        <v>0</v>
      </c>
      <c r="H355" s="55">
        <f t="shared" si="134"/>
        <v>0</v>
      </c>
      <c r="I355" s="55">
        <f t="shared" si="134"/>
        <v>0</v>
      </c>
      <c r="J355" s="55">
        <f t="shared" si="134"/>
        <v>0</v>
      </c>
      <c r="K355" s="55">
        <f t="shared" si="134"/>
        <v>0</v>
      </c>
      <c r="L355" s="55">
        <f t="shared" si="134"/>
        <v>0</v>
      </c>
      <c r="M355" s="55">
        <f t="shared" si="134"/>
        <v>0</v>
      </c>
      <c r="N355" s="55">
        <f t="shared" si="134"/>
        <v>0</v>
      </c>
      <c r="O355" s="55">
        <f t="shared" si="134"/>
        <v>0</v>
      </c>
      <c r="P355" s="55">
        <f t="shared" si="134"/>
        <v>0</v>
      </c>
      <c r="Q355" s="55">
        <f t="shared" si="134"/>
        <v>0</v>
      </c>
      <c r="R355" s="55">
        <f t="shared" si="134"/>
        <v>0</v>
      </c>
      <c r="S355" s="55">
        <f t="shared" si="134"/>
        <v>0</v>
      </c>
      <c r="T355" s="55">
        <f t="shared" si="134"/>
        <v>0</v>
      </c>
      <c r="U355" s="55">
        <f t="shared" si="134"/>
        <v>0</v>
      </c>
      <c r="V355" s="55">
        <f t="shared" si="134"/>
        <v>0</v>
      </c>
      <c r="W355" s="55">
        <f t="shared" si="134"/>
        <v>0</v>
      </c>
      <c r="X355" s="55">
        <f t="shared" si="134"/>
        <v>0</v>
      </c>
      <c r="Y355" s="55">
        <f t="shared" si="134"/>
        <v>0</v>
      </c>
      <c r="Z355" s="55">
        <f t="shared" si="134"/>
        <v>0</v>
      </c>
      <c r="AA355" s="55">
        <f t="shared" si="134"/>
        <v>0</v>
      </c>
      <c r="AB355" s="55">
        <f t="shared" si="134"/>
        <v>0</v>
      </c>
      <c r="AC355" s="55">
        <f t="shared" si="134"/>
        <v>0</v>
      </c>
      <c r="AD355" s="55">
        <f t="shared" si="134"/>
        <v>0</v>
      </c>
      <c r="AE355" s="55">
        <f t="shared" si="134"/>
        <v>0</v>
      </c>
      <c r="AF355" s="55">
        <f t="shared" si="134"/>
        <v>0</v>
      </c>
      <c r="AG355" s="55">
        <f t="shared" si="134"/>
        <v>0</v>
      </c>
      <c r="AH355" s="55">
        <f t="shared" si="134"/>
        <v>0</v>
      </c>
      <c r="AI355" s="55">
        <f t="shared" si="134"/>
        <v>0</v>
      </c>
      <c r="AJ355" s="55">
        <f t="shared" si="134"/>
        <v>0</v>
      </c>
      <c r="AK355" s="55">
        <f t="shared" si="134"/>
        <v>0</v>
      </c>
      <c r="AL355" s="55">
        <f t="shared" si="134"/>
        <v>0</v>
      </c>
      <c r="AM355" s="55">
        <f t="shared" si="134"/>
        <v>0</v>
      </c>
      <c r="AN355" s="55">
        <f t="shared" si="134"/>
        <v>0</v>
      </c>
      <c r="AO355" s="55">
        <f t="shared" si="134"/>
        <v>0</v>
      </c>
      <c r="AP355" s="55">
        <f t="shared" si="134"/>
        <v>0</v>
      </c>
      <c r="AQ355" s="55">
        <f t="shared" ref="AQ355" si="135">IF($C353="",0,IF(AND(AQ353=$C353,AQ354=$C354),5,IF(OR(AND(AQ353-AQ354&gt;0,$C353-$C354&gt;0),AND(AQ354-AQ353&gt;0,$C354-$C353&gt;0),AND(AQ353-AQ354=0,$C353-$C354=0)),2,0)+IF(OR(AQ353=$C353,AQ354=$C354),1,0)))</f>
        <v>0</v>
      </c>
      <c r="AR355" s="55">
        <f t="shared" si="134"/>
        <v>0</v>
      </c>
      <c r="AS355" s="55">
        <f t="shared" si="134"/>
        <v>0</v>
      </c>
      <c r="AT355" s="55">
        <f t="shared" si="134"/>
        <v>0</v>
      </c>
      <c r="AU355" s="55">
        <f t="shared" si="134"/>
        <v>0</v>
      </c>
      <c r="AV355" s="55">
        <f t="shared" si="134"/>
        <v>0</v>
      </c>
      <c r="AW355" s="55">
        <f t="shared" si="134"/>
        <v>0</v>
      </c>
      <c r="AX355" s="55">
        <f t="shared" si="134"/>
        <v>0</v>
      </c>
      <c r="AY355" s="55">
        <f t="shared" si="134"/>
        <v>0</v>
      </c>
      <c r="AZ355" s="55">
        <f t="shared" si="134"/>
        <v>0</v>
      </c>
      <c r="BA355" s="55">
        <f t="shared" si="134"/>
        <v>0</v>
      </c>
      <c r="BB355" s="55">
        <f t="shared" si="134"/>
        <v>0</v>
      </c>
      <c r="BC355" s="55">
        <f t="shared" si="134"/>
        <v>0</v>
      </c>
      <c r="BD355" s="55">
        <f t="shared" si="134"/>
        <v>0</v>
      </c>
      <c r="BE355" s="55">
        <f t="shared" si="134"/>
        <v>0</v>
      </c>
      <c r="BF355" s="55">
        <f t="shared" si="134"/>
        <v>0</v>
      </c>
      <c r="BG355" s="55">
        <f t="shared" si="134"/>
        <v>0</v>
      </c>
      <c r="BH355" s="55">
        <f t="shared" si="134"/>
        <v>0</v>
      </c>
      <c r="BI355" s="55">
        <f t="shared" si="134"/>
        <v>0</v>
      </c>
      <c r="BJ355" s="55">
        <f t="shared" si="134"/>
        <v>0</v>
      </c>
    </row>
    <row r="356" spans="1:62" ht="15.75" customHeight="1" x14ac:dyDescent="0.25">
      <c r="A356" s="62"/>
      <c r="B356" s="19">
        <v>0.875</v>
      </c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</row>
    <row r="357" spans="1:62" ht="15.75" customHeight="1" x14ac:dyDescent="0.25">
      <c r="A357" s="23"/>
    </row>
    <row r="358" spans="1:62" ht="23.25" customHeight="1" x14ac:dyDescent="0.25">
      <c r="A358" s="61">
        <v>70</v>
      </c>
      <c r="B358" s="14" t="s">
        <v>120</v>
      </c>
      <c r="C358" s="15"/>
      <c r="D358" s="16">
        <v>0</v>
      </c>
      <c r="E358" s="16">
        <v>0</v>
      </c>
      <c r="F358" s="16">
        <v>0</v>
      </c>
      <c r="G358" s="17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7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7">
        <v>0</v>
      </c>
      <c r="AB358" s="16">
        <v>0</v>
      </c>
      <c r="AC358" s="16">
        <v>0</v>
      </c>
      <c r="AD358" s="17">
        <v>0</v>
      </c>
      <c r="AE358" s="17">
        <v>0</v>
      </c>
      <c r="AF358" s="17">
        <v>0</v>
      </c>
      <c r="AG358" s="16">
        <v>0</v>
      </c>
      <c r="AH358" s="16">
        <v>0</v>
      </c>
      <c r="AI358" s="17">
        <v>0</v>
      </c>
      <c r="AJ358" s="16">
        <v>1</v>
      </c>
      <c r="AK358" s="16">
        <v>0</v>
      </c>
      <c r="AL358" s="16">
        <v>1</v>
      </c>
      <c r="AM358" s="16">
        <v>1</v>
      </c>
      <c r="AN358" s="16">
        <v>0</v>
      </c>
      <c r="AO358" s="16">
        <v>0</v>
      </c>
      <c r="AP358" s="17">
        <v>0</v>
      </c>
      <c r="AQ358" s="16">
        <v>0</v>
      </c>
      <c r="AR358" s="17">
        <v>0</v>
      </c>
      <c r="AS358" s="17">
        <v>0</v>
      </c>
      <c r="AT358" s="16">
        <v>0</v>
      </c>
      <c r="AU358" s="17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1</v>
      </c>
      <c r="BA358" s="16">
        <v>0</v>
      </c>
      <c r="BB358" s="16">
        <v>0</v>
      </c>
      <c r="BC358" s="17">
        <v>0</v>
      </c>
      <c r="BD358" s="16">
        <v>0</v>
      </c>
      <c r="BE358" s="17">
        <v>1</v>
      </c>
      <c r="BF358" s="17">
        <v>0</v>
      </c>
      <c r="BG358" s="16">
        <v>2</v>
      </c>
      <c r="BH358" s="17">
        <v>0</v>
      </c>
      <c r="BI358" s="16">
        <v>0</v>
      </c>
      <c r="BJ358" s="16">
        <v>0</v>
      </c>
    </row>
    <row r="359" spans="1:62" ht="23.25" customHeight="1" x14ac:dyDescent="0.25">
      <c r="A359" s="62"/>
      <c r="B359" s="14" t="s">
        <v>117</v>
      </c>
      <c r="C359" s="15"/>
      <c r="D359" s="16">
        <v>4</v>
      </c>
      <c r="E359" s="16">
        <v>4</v>
      </c>
      <c r="F359" s="16">
        <v>3</v>
      </c>
      <c r="G359" s="17">
        <v>6</v>
      </c>
      <c r="H359" s="16">
        <v>4</v>
      </c>
      <c r="I359" s="16">
        <v>4</v>
      </c>
      <c r="J359" s="16">
        <v>4</v>
      </c>
      <c r="K359" s="16">
        <v>3</v>
      </c>
      <c r="L359" s="16">
        <v>4</v>
      </c>
      <c r="M359" s="16">
        <v>3</v>
      </c>
      <c r="N359" s="16">
        <v>4</v>
      </c>
      <c r="O359" s="16">
        <v>3</v>
      </c>
      <c r="P359" s="16">
        <v>3</v>
      </c>
      <c r="Q359" s="16">
        <v>5</v>
      </c>
      <c r="R359" s="17">
        <v>3</v>
      </c>
      <c r="S359" s="16">
        <v>2</v>
      </c>
      <c r="T359" s="16">
        <v>2</v>
      </c>
      <c r="U359" s="16">
        <v>4</v>
      </c>
      <c r="V359" s="16">
        <v>3</v>
      </c>
      <c r="W359" s="16">
        <v>4</v>
      </c>
      <c r="X359" s="16">
        <v>3</v>
      </c>
      <c r="Y359" s="16">
        <v>3</v>
      </c>
      <c r="Z359" s="16">
        <v>3</v>
      </c>
      <c r="AA359" s="17">
        <v>3</v>
      </c>
      <c r="AB359" s="16">
        <v>4</v>
      </c>
      <c r="AC359" s="16">
        <v>2</v>
      </c>
      <c r="AD359" s="17">
        <v>3</v>
      </c>
      <c r="AE359" s="17">
        <v>3</v>
      </c>
      <c r="AF359" s="17">
        <v>3</v>
      </c>
      <c r="AG359" s="16">
        <v>3</v>
      </c>
      <c r="AH359" s="16">
        <v>3</v>
      </c>
      <c r="AI359" s="17">
        <v>3</v>
      </c>
      <c r="AJ359" s="16">
        <v>3</v>
      </c>
      <c r="AK359" s="16">
        <v>3</v>
      </c>
      <c r="AL359" s="16">
        <v>3</v>
      </c>
      <c r="AM359" s="16">
        <v>3</v>
      </c>
      <c r="AN359" s="16">
        <v>3</v>
      </c>
      <c r="AO359" s="16">
        <v>5</v>
      </c>
      <c r="AP359" s="17">
        <v>3</v>
      </c>
      <c r="AQ359" s="16">
        <v>4</v>
      </c>
      <c r="AR359" s="17">
        <v>3</v>
      </c>
      <c r="AS359" s="17">
        <v>3</v>
      </c>
      <c r="AT359" s="16">
        <v>2</v>
      </c>
      <c r="AU359" s="17">
        <v>2</v>
      </c>
      <c r="AV359" s="16">
        <v>2</v>
      </c>
      <c r="AW359" s="16">
        <v>4</v>
      </c>
      <c r="AX359" s="16">
        <v>3</v>
      </c>
      <c r="AY359" s="16">
        <v>3</v>
      </c>
      <c r="AZ359" s="16">
        <v>2</v>
      </c>
      <c r="BA359" s="16">
        <v>3</v>
      </c>
      <c r="BB359" s="16">
        <v>3</v>
      </c>
      <c r="BC359" s="17">
        <v>3</v>
      </c>
      <c r="BD359" s="16">
        <v>3</v>
      </c>
      <c r="BE359" s="17">
        <v>3</v>
      </c>
      <c r="BF359" s="17">
        <v>4</v>
      </c>
      <c r="BG359" s="16">
        <v>0</v>
      </c>
      <c r="BH359" s="17">
        <v>3</v>
      </c>
      <c r="BI359" s="16">
        <v>5</v>
      </c>
      <c r="BJ359" s="16">
        <v>2</v>
      </c>
    </row>
    <row r="360" spans="1:62" ht="15.75" customHeight="1" x14ac:dyDescent="0.25">
      <c r="A360" s="62"/>
      <c r="B360" s="18">
        <v>46200</v>
      </c>
      <c r="C360" s="60" t="s">
        <v>65</v>
      </c>
      <c r="D360" s="55">
        <f t="shared" ref="D360:BJ360" si="136">IF($C358="",0,IF(AND(D358=$C358,D359=$C359),5,IF(OR(AND(D358-D359&gt;0,$C358-$C359&gt;0),AND(D359-D358&gt;0,$C359-$C358&gt;0),AND(D358-D359=0,$C358-$C359=0)),2,0)+IF(OR(D358=$C358,D359=$C359),1,0)))</f>
        <v>0</v>
      </c>
      <c r="E360" s="55">
        <f t="shared" si="136"/>
        <v>0</v>
      </c>
      <c r="F360" s="55">
        <f t="shared" si="136"/>
        <v>0</v>
      </c>
      <c r="G360" s="55">
        <f t="shared" si="136"/>
        <v>0</v>
      </c>
      <c r="H360" s="55">
        <f t="shared" si="136"/>
        <v>0</v>
      </c>
      <c r="I360" s="55">
        <f t="shared" si="136"/>
        <v>0</v>
      </c>
      <c r="J360" s="55">
        <f t="shared" si="136"/>
        <v>0</v>
      </c>
      <c r="K360" s="55">
        <f t="shared" si="136"/>
        <v>0</v>
      </c>
      <c r="L360" s="55">
        <f t="shared" si="136"/>
        <v>0</v>
      </c>
      <c r="M360" s="55">
        <f t="shared" si="136"/>
        <v>0</v>
      </c>
      <c r="N360" s="55">
        <f t="shared" si="136"/>
        <v>0</v>
      </c>
      <c r="O360" s="55">
        <f t="shared" si="136"/>
        <v>0</v>
      </c>
      <c r="P360" s="55">
        <f t="shared" si="136"/>
        <v>0</v>
      </c>
      <c r="Q360" s="55">
        <f t="shared" si="136"/>
        <v>0</v>
      </c>
      <c r="R360" s="55">
        <f t="shared" si="136"/>
        <v>0</v>
      </c>
      <c r="S360" s="55">
        <f t="shared" si="136"/>
        <v>0</v>
      </c>
      <c r="T360" s="55">
        <f t="shared" si="136"/>
        <v>0</v>
      </c>
      <c r="U360" s="55">
        <f t="shared" si="136"/>
        <v>0</v>
      </c>
      <c r="V360" s="55">
        <f t="shared" si="136"/>
        <v>0</v>
      </c>
      <c r="W360" s="55">
        <f t="shared" si="136"/>
        <v>0</v>
      </c>
      <c r="X360" s="55">
        <f t="shared" si="136"/>
        <v>0</v>
      </c>
      <c r="Y360" s="55">
        <f t="shared" si="136"/>
        <v>0</v>
      </c>
      <c r="Z360" s="55">
        <f t="shared" si="136"/>
        <v>0</v>
      </c>
      <c r="AA360" s="55">
        <f t="shared" si="136"/>
        <v>0</v>
      </c>
      <c r="AB360" s="55">
        <f t="shared" si="136"/>
        <v>0</v>
      </c>
      <c r="AC360" s="55">
        <f t="shared" si="136"/>
        <v>0</v>
      </c>
      <c r="AD360" s="55">
        <f t="shared" si="136"/>
        <v>0</v>
      </c>
      <c r="AE360" s="55">
        <f t="shared" si="136"/>
        <v>0</v>
      </c>
      <c r="AF360" s="55">
        <f t="shared" si="136"/>
        <v>0</v>
      </c>
      <c r="AG360" s="55">
        <f t="shared" si="136"/>
        <v>0</v>
      </c>
      <c r="AH360" s="55">
        <f t="shared" si="136"/>
        <v>0</v>
      </c>
      <c r="AI360" s="55">
        <f t="shared" si="136"/>
        <v>0</v>
      </c>
      <c r="AJ360" s="55">
        <f t="shared" si="136"/>
        <v>0</v>
      </c>
      <c r="AK360" s="55">
        <f t="shared" si="136"/>
        <v>0</v>
      </c>
      <c r="AL360" s="55">
        <f t="shared" si="136"/>
        <v>0</v>
      </c>
      <c r="AM360" s="55">
        <f t="shared" si="136"/>
        <v>0</v>
      </c>
      <c r="AN360" s="55">
        <f t="shared" si="136"/>
        <v>0</v>
      </c>
      <c r="AO360" s="55">
        <f t="shared" si="136"/>
        <v>0</v>
      </c>
      <c r="AP360" s="55">
        <f t="shared" si="136"/>
        <v>0</v>
      </c>
      <c r="AQ360" s="55">
        <f t="shared" ref="AQ360" si="137">IF($C358="",0,IF(AND(AQ358=$C358,AQ359=$C359),5,IF(OR(AND(AQ358-AQ359&gt;0,$C358-$C359&gt;0),AND(AQ359-AQ358&gt;0,$C359-$C358&gt;0),AND(AQ358-AQ359=0,$C358-$C359=0)),2,0)+IF(OR(AQ358=$C358,AQ359=$C359),1,0)))</f>
        <v>0</v>
      </c>
      <c r="AR360" s="55">
        <f t="shared" si="136"/>
        <v>0</v>
      </c>
      <c r="AS360" s="55">
        <f t="shared" si="136"/>
        <v>0</v>
      </c>
      <c r="AT360" s="55">
        <f t="shared" si="136"/>
        <v>0</v>
      </c>
      <c r="AU360" s="55">
        <f t="shared" si="136"/>
        <v>0</v>
      </c>
      <c r="AV360" s="55">
        <f t="shared" si="136"/>
        <v>0</v>
      </c>
      <c r="AW360" s="55">
        <f t="shared" si="136"/>
        <v>0</v>
      </c>
      <c r="AX360" s="55">
        <f t="shared" si="136"/>
        <v>0</v>
      </c>
      <c r="AY360" s="55">
        <f t="shared" si="136"/>
        <v>0</v>
      </c>
      <c r="AZ360" s="55">
        <f t="shared" si="136"/>
        <v>0</v>
      </c>
      <c r="BA360" s="55">
        <f t="shared" si="136"/>
        <v>0</v>
      </c>
      <c r="BB360" s="55">
        <f t="shared" si="136"/>
        <v>0</v>
      </c>
      <c r="BC360" s="55">
        <f t="shared" si="136"/>
        <v>0</v>
      </c>
      <c r="BD360" s="55">
        <f t="shared" si="136"/>
        <v>0</v>
      </c>
      <c r="BE360" s="55">
        <f t="shared" si="136"/>
        <v>0</v>
      </c>
      <c r="BF360" s="55">
        <f t="shared" si="136"/>
        <v>0</v>
      </c>
      <c r="BG360" s="55">
        <f t="shared" si="136"/>
        <v>0</v>
      </c>
      <c r="BH360" s="55">
        <f t="shared" si="136"/>
        <v>0</v>
      </c>
      <c r="BI360" s="55">
        <f t="shared" si="136"/>
        <v>0</v>
      </c>
      <c r="BJ360" s="55">
        <f t="shared" si="136"/>
        <v>0</v>
      </c>
    </row>
    <row r="361" spans="1:62" ht="15.75" customHeight="1" x14ac:dyDescent="0.25">
      <c r="A361" s="62"/>
      <c r="B361" s="19">
        <v>0.875</v>
      </c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</row>
    <row r="362" spans="1:62" ht="15.75" customHeight="1" x14ac:dyDescent="0.25"/>
    <row r="363" spans="1:62" ht="15.75" customHeight="1" x14ac:dyDescent="0.25"/>
    <row r="364" spans="1:62" ht="15.75" customHeight="1" x14ac:dyDescent="0.25"/>
    <row r="365" spans="1:62" ht="39.75" customHeight="1" x14ac:dyDescent="0.25">
      <c r="A365" s="57" t="s">
        <v>122</v>
      </c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9"/>
    </row>
    <row r="366" spans="1:62" ht="15.75" customHeight="1" x14ac:dyDescent="0.25">
      <c r="A366" s="2"/>
      <c r="B366" s="2"/>
      <c r="C366" s="2"/>
      <c r="D366" s="2"/>
      <c r="E366" s="2"/>
      <c r="F366" s="2"/>
      <c r="G366" s="2"/>
      <c r="H366" s="3"/>
      <c r="I366" s="3"/>
      <c r="J366" s="3"/>
    </row>
    <row r="367" spans="1:62" ht="15.75" customHeight="1" x14ac:dyDescent="0.25">
      <c r="A367" s="4"/>
      <c r="B367" s="5"/>
      <c r="C367" s="6"/>
      <c r="D367" s="7">
        <v>1</v>
      </c>
      <c r="E367" s="7">
        <v>2</v>
      </c>
      <c r="F367" s="7">
        <v>3</v>
      </c>
      <c r="G367" s="7">
        <v>4</v>
      </c>
      <c r="H367" s="7">
        <v>5</v>
      </c>
      <c r="I367" s="7">
        <v>6</v>
      </c>
      <c r="J367" s="7">
        <v>7</v>
      </c>
      <c r="K367" s="7">
        <v>8</v>
      </c>
      <c r="L367" s="7">
        <v>9</v>
      </c>
      <c r="M367" s="7">
        <v>10</v>
      </c>
      <c r="N367" s="7">
        <v>11</v>
      </c>
      <c r="O367" s="7">
        <v>13</v>
      </c>
      <c r="P367" s="7">
        <v>14</v>
      </c>
      <c r="Q367" s="7">
        <v>15</v>
      </c>
      <c r="R367" s="7">
        <v>16</v>
      </c>
      <c r="S367" s="7">
        <v>17</v>
      </c>
      <c r="T367" s="7">
        <v>18</v>
      </c>
      <c r="U367" s="7">
        <v>19</v>
      </c>
      <c r="V367" s="7">
        <v>20</v>
      </c>
      <c r="W367" s="7">
        <v>21</v>
      </c>
      <c r="X367" s="7">
        <v>22</v>
      </c>
      <c r="Y367" s="7">
        <v>24</v>
      </c>
      <c r="Z367" s="7">
        <v>25</v>
      </c>
      <c r="AA367" s="7">
        <v>26</v>
      </c>
      <c r="AB367" s="7">
        <v>27</v>
      </c>
      <c r="AC367" s="7">
        <v>29</v>
      </c>
      <c r="AD367" s="7">
        <v>30</v>
      </c>
      <c r="AE367" s="7">
        <v>32</v>
      </c>
      <c r="AF367" s="7">
        <v>33</v>
      </c>
      <c r="AG367" s="7">
        <v>34</v>
      </c>
      <c r="AH367" s="7">
        <v>35</v>
      </c>
      <c r="AI367" s="7">
        <v>36</v>
      </c>
      <c r="AJ367" s="7">
        <v>37</v>
      </c>
      <c r="AK367" s="7">
        <v>38</v>
      </c>
      <c r="AL367" s="7">
        <v>39</v>
      </c>
      <c r="AM367" s="7">
        <v>40</v>
      </c>
      <c r="AN367" s="7">
        <v>41</v>
      </c>
      <c r="AO367" s="7">
        <v>42</v>
      </c>
      <c r="AP367" s="7">
        <v>44</v>
      </c>
      <c r="AQ367" s="7">
        <v>67</v>
      </c>
      <c r="AR367" s="7">
        <v>48</v>
      </c>
      <c r="AS367" s="7">
        <v>49</v>
      </c>
      <c r="AT367" s="7">
        <v>51</v>
      </c>
      <c r="AU367" s="7">
        <v>52</v>
      </c>
      <c r="AV367" s="7">
        <v>53</v>
      </c>
      <c r="AW367" s="7">
        <v>54</v>
      </c>
      <c r="AX367" s="7">
        <v>55</v>
      </c>
      <c r="AY367" s="7">
        <v>56</v>
      </c>
      <c r="AZ367" s="7">
        <v>57</v>
      </c>
      <c r="BA367" s="7">
        <v>58</v>
      </c>
      <c r="BB367" s="7">
        <v>59</v>
      </c>
      <c r="BC367" s="7">
        <v>60</v>
      </c>
      <c r="BD367" s="7">
        <v>61</v>
      </c>
      <c r="BE367" s="7">
        <v>62</v>
      </c>
      <c r="BF367" s="7">
        <v>63</v>
      </c>
      <c r="BG367" s="7">
        <v>64</v>
      </c>
      <c r="BH367" s="7">
        <v>65</v>
      </c>
      <c r="BI367" s="7">
        <v>66</v>
      </c>
      <c r="BJ367" s="7">
        <v>67</v>
      </c>
    </row>
    <row r="368" spans="1:62" ht="189.75" customHeight="1" x14ac:dyDescent="0.25">
      <c r="A368" s="8"/>
      <c r="B368" s="9" t="s">
        <v>3</v>
      </c>
      <c r="C368" s="10" t="s">
        <v>4</v>
      </c>
      <c r="D368" s="11" t="str">
        <f t="shared" ref="D368:BJ368" si="138">D8</f>
        <v>Julian Uribe</v>
      </c>
      <c r="E368" s="11" t="str">
        <f t="shared" si="138"/>
        <v>Yulian Sanchez</v>
      </c>
      <c r="F368" s="11" t="str">
        <f t="shared" si="138"/>
        <v>Francisco Moreno</v>
      </c>
      <c r="G368" s="11" t="str">
        <f t="shared" si="138"/>
        <v>Mauricio Guerrero</v>
      </c>
      <c r="H368" s="11" t="str">
        <f t="shared" si="138"/>
        <v>Gustavo Guerrero</v>
      </c>
      <c r="I368" s="11" t="str">
        <f t="shared" si="138"/>
        <v>Gerardo Martinez</v>
      </c>
      <c r="J368" s="11" t="str">
        <f t="shared" si="138"/>
        <v>Nora Perez</v>
      </c>
      <c r="K368" s="11" t="str">
        <f t="shared" si="138"/>
        <v>Laura Rodriguez</v>
      </c>
      <c r="L368" s="11" t="str">
        <f t="shared" si="138"/>
        <v>Jhoana Moreno</v>
      </c>
      <c r="M368" s="11" t="str">
        <f t="shared" si="138"/>
        <v xml:space="preserve">Yoselin Salinas </v>
      </c>
      <c r="N368" s="11" t="str">
        <f t="shared" si="138"/>
        <v>Luis Diaz</v>
      </c>
      <c r="O368" s="11" t="str">
        <f t="shared" si="138"/>
        <v>Diela del Carmen</v>
      </c>
      <c r="P368" s="11" t="str">
        <f t="shared" si="138"/>
        <v>Paola Agredo</v>
      </c>
      <c r="Q368" s="11" t="str">
        <f t="shared" si="138"/>
        <v>Oscar Suarez</v>
      </c>
      <c r="R368" s="11" t="str">
        <f t="shared" si="138"/>
        <v>Paulo Figueroa</v>
      </c>
      <c r="S368" s="11" t="str">
        <f t="shared" si="138"/>
        <v xml:space="preserve">Jean Piere </v>
      </c>
      <c r="T368" s="11" t="str">
        <f t="shared" si="138"/>
        <v>David Diaz</v>
      </c>
      <c r="U368" s="11" t="str">
        <f t="shared" si="138"/>
        <v xml:space="preserve">Christian Giraldo </v>
      </c>
      <c r="V368" s="11" t="str">
        <f t="shared" si="138"/>
        <v>Viviana Hurtado</v>
      </c>
      <c r="W368" s="11" t="str">
        <f t="shared" si="138"/>
        <v>James Chavez Ocampo</v>
      </c>
      <c r="X368" s="11" t="str">
        <f t="shared" si="138"/>
        <v>Luis Felipe Sanchez</v>
      </c>
      <c r="Y368" s="11" t="str">
        <f t="shared" si="138"/>
        <v>Laura Ossa</v>
      </c>
      <c r="Z368" s="11" t="str">
        <f t="shared" si="138"/>
        <v>Elizabeth Montealegre</v>
      </c>
      <c r="AA368" s="11" t="str">
        <f t="shared" si="138"/>
        <v>Liliana Montealegre</v>
      </c>
      <c r="AB368" s="11" t="str">
        <f t="shared" si="138"/>
        <v>Javier Andres Gomez</v>
      </c>
      <c r="AC368" s="11" t="str">
        <f t="shared" si="138"/>
        <v>Diana Carolina Marin</v>
      </c>
      <c r="AD368" s="11" t="str">
        <f t="shared" si="138"/>
        <v>Diego Fernando Saavedra</v>
      </c>
      <c r="AE368" s="11" t="str">
        <f t="shared" si="138"/>
        <v>Oscar Mayor</v>
      </c>
      <c r="AF368" s="11" t="str">
        <f t="shared" si="138"/>
        <v>Ingrid Toro</v>
      </c>
      <c r="AG368" s="11" t="str">
        <f t="shared" si="138"/>
        <v>Ana Marcela Castro</v>
      </c>
      <c r="AH368" s="11" t="str">
        <f t="shared" si="138"/>
        <v>Ricardo Gutierrez</v>
      </c>
      <c r="AI368" s="11" t="str">
        <f t="shared" si="138"/>
        <v>Natalia Navarro</v>
      </c>
      <c r="AJ368" s="11" t="str">
        <f t="shared" si="138"/>
        <v>Diana Perez</v>
      </c>
      <c r="AK368" s="11" t="str">
        <f t="shared" si="138"/>
        <v>Sergio Diaz</v>
      </c>
      <c r="AL368" s="11" t="str">
        <f t="shared" si="138"/>
        <v>William Oviedo</v>
      </c>
      <c r="AM368" s="11" t="str">
        <f t="shared" si="138"/>
        <v>Armando Orjuela</v>
      </c>
      <c r="AN368" s="11" t="str">
        <f t="shared" si="138"/>
        <v xml:space="preserve">Helen Muñoz </v>
      </c>
      <c r="AO368" s="11" t="str">
        <f t="shared" si="138"/>
        <v>Julieth Cruz - Luiz Diaz</v>
      </c>
      <c r="AP368" s="11" t="str">
        <f t="shared" si="138"/>
        <v>Jose Luis Montoya</v>
      </c>
      <c r="AQ368" s="11" t="str">
        <f t="shared" ref="AQ368" si="139">AQ8</f>
        <v>Julian Useche</v>
      </c>
      <c r="AR368" s="11" t="str">
        <f t="shared" si="138"/>
        <v>Sebastian Posada</v>
      </c>
      <c r="AS368" s="11" t="str">
        <f t="shared" si="138"/>
        <v>Juan Cifuentes</v>
      </c>
      <c r="AT368" s="11" t="str">
        <f t="shared" si="138"/>
        <v>Rodrigo Dominguez</v>
      </c>
      <c r="AU368" s="11" t="str">
        <f t="shared" si="138"/>
        <v xml:space="preserve">Carlos Calero </v>
      </c>
      <c r="AV368" s="11" t="str">
        <f t="shared" si="138"/>
        <v>Lewhis Spirth Montaño</v>
      </c>
      <c r="AW368" s="11" t="str">
        <f t="shared" si="138"/>
        <v>Sebastian Castro Luna</v>
      </c>
      <c r="AX368" s="11" t="str">
        <f t="shared" si="138"/>
        <v>Francia Orozco</v>
      </c>
      <c r="AY368" s="11" t="str">
        <f t="shared" si="138"/>
        <v>Fredy Rojas</v>
      </c>
      <c r="AZ368" s="11" t="str">
        <f t="shared" si="138"/>
        <v>John Quiñonez</v>
      </c>
      <c r="BA368" s="11" t="str">
        <f t="shared" si="138"/>
        <v>Yuli Guzman</v>
      </c>
      <c r="BB368" s="11" t="str">
        <f t="shared" si="138"/>
        <v>Luis Alfredo Plaza</v>
      </c>
      <c r="BC368" s="11" t="str">
        <f t="shared" si="138"/>
        <v>Naty Bermudez</v>
      </c>
      <c r="BD368" s="11" t="str">
        <f t="shared" si="138"/>
        <v>Edgar Ivan Giraldo Duran</v>
      </c>
      <c r="BE368" s="11" t="str">
        <f t="shared" si="138"/>
        <v>Caterine Filigrana</v>
      </c>
      <c r="BF368" s="11" t="str">
        <f t="shared" si="138"/>
        <v>Adriana Belalcazar</v>
      </c>
      <c r="BG368" s="11" t="str">
        <f t="shared" si="138"/>
        <v>Angelisa Hurtado</v>
      </c>
      <c r="BH368" s="11" t="str">
        <f t="shared" si="138"/>
        <v>Isabela Muñoz</v>
      </c>
      <c r="BI368" s="11" t="str">
        <f t="shared" si="138"/>
        <v>Francisco Moreno Alvarez</v>
      </c>
      <c r="BJ368" s="11" t="str">
        <f t="shared" si="138"/>
        <v>Angelica Maria Panesso</v>
      </c>
    </row>
    <row r="369" spans="1:62" ht="21" customHeight="1" x14ac:dyDescent="0.25">
      <c r="A369" s="63">
        <v>23</v>
      </c>
      <c r="B369" s="14" t="s">
        <v>123</v>
      </c>
      <c r="C369" s="15"/>
      <c r="D369" s="16">
        <v>3</v>
      </c>
      <c r="E369" s="16">
        <v>3</v>
      </c>
      <c r="F369" s="16">
        <v>4</v>
      </c>
      <c r="G369" s="17">
        <v>3</v>
      </c>
      <c r="H369" s="16">
        <v>2</v>
      </c>
      <c r="I369" s="16">
        <v>3</v>
      </c>
      <c r="J369" s="16">
        <v>3</v>
      </c>
      <c r="K369" s="16">
        <v>4</v>
      </c>
      <c r="L369" s="16">
        <v>2</v>
      </c>
      <c r="M369" s="16">
        <v>2</v>
      </c>
      <c r="N369" s="16">
        <v>3</v>
      </c>
      <c r="O369" s="16">
        <v>3</v>
      </c>
      <c r="P369" s="16">
        <v>3</v>
      </c>
      <c r="Q369" s="16">
        <v>4</v>
      </c>
      <c r="R369" s="17">
        <v>2</v>
      </c>
      <c r="S369" s="16">
        <v>2</v>
      </c>
      <c r="T369" s="16">
        <v>2</v>
      </c>
      <c r="U369" s="16">
        <v>3</v>
      </c>
      <c r="V369" s="16">
        <v>3</v>
      </c>
      <c r="W369" s="16">
        <v>6</v>
      </c>
      <c r="X369" s="16">
        <v>3</v>
      </c>
      <c r="Y369" s="16">
        <v>3</v>
      </c>
      <c r="Z369" s="16">
        <v>2</v>
      </c>
      <c r="AA369" s="17">
        <v>3</v>
      </c>
      <c r="AB369" s="16">
        <v>2</v>
      </c>
      <c r="AC369" s="16">
        <v>2</v>
      </c>
      <c r="AD369" s="17">
        <v>3</v>
      </c>
      <c r="AE369" s="17">
        <v>3</v>
      </c>
      <c r="AF369" s="17">
        <v>2</v>
      </c>
      <c r="AG369" s="16">
        <v>2</v>
      </c>
      <c r="AH369" s="16">
        <v>3</v>
      </c>
      <c r="AI369" s="17">
        <v>4</v>
      </c>
      <c r="AJ369" s="16">
        <v>3</v>
      </c>
      <c r="AK369" s="16">
        <v>3</v>
      </c>
      <c r="AL369" s="16">
        <v>3</v>
      </c>
      <c r="AM369" s="16">
        <v>3</v>
      </c>
      <c r="AN369" s="16">
        <v>3</v>
      </c>
      <c r="AO369" s="16">
        <v>4</v>
      </c>
      <c r="AP369" s="17">
        <v>3</v>
      </c>
      <c r="AQ369" s="16">
        <v>2</v>
      </c>
      <c r="AR369" s="17">
        <v>2</v>
      </c>
      <c r="AS369" s="17">
        <v>2</v>
      </c>
      <c r="AT369" s="16">
        <v>2</v>
      </c>
      <c r="AU369" s="17">
        <v>3</v>
      </c>
      <c r="AV369" s="16">
        <v>2</v>
      </c>
      <c r="AW369" s="16">
        <v>3</v>
      </c>
      <c r="AX369" s="16">
        <v>3</v>
      </c>
      <c r="AY369" s="16">
        <v>2</v>
      </c>
      <c r="AZ369" s="16">
        <v>2</v>
      </c>
      <c r="BA369" s="16">
        <v>3</v>
      </c>
      <c r="BB369" s="16">
        <v>3</v>
      </c>
      <c r="BC369" s="17">
        <v>2</v>
      </c>
      <c r="BD369" s="16">
        <v>3</v>
      </c>
      <c r="BE369" s="17">
        <v>2</v>
      </c>
      <c r="BF369" s="17">
        <v>3</v>
      </c>
      <c r="BG369" s="16">
        <v>2</v>
      </c>
      <c r="BH369" s="17">
        <v>3</v>
      </c>
      <c r="BI369" s="16">
        <v>3</v>
      </c>
      <c r="BJ369" s="16">
        <v>2</v>
      </c>
    </row>
    <row r="370" spans="1:62" ht="24" customHeight="1" x14ac:dyDescent="0.25">
      <c r="A370" s="64"/>
      <c r="B370" s="14" t="s">
        <v>124</v>
      </c>
      <c r="C370" s="15"/>
      <c r="D370" s="16">
        <v>0</v>
      </c>
      <c r="E370" s="16">
        <v>0</v>
      </c>
      <c r="F370" s="16">
        <v>1</v>
      </c>
      <c r="G370" s="17">
        <v>1</v>
      </c>
      <c r="H370" s="16">
        <v>0</v>
      </c>
      <c r="I370" s="16">
        <v>1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1</v>
      </c>
      <c r="Q370" s="16">
        <v>1</v>
      </c>
      <c r="R370" s="17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7">
        <v>1</v>
      </c>
      <c r="AB370" s="16">
        <v>0</v>
      </c>
      <c r="AC370" s="16">
        <v>0</v>
      </c>
      <c r="AD370" s="17">
        <v>0</v>
      </c>
      <c r="AE370" s="17">
        <v>0</v>
      </c>
      <c r="AF370" s="17">
        <v>0</v>
      </c>
      <c r="AG370" s="16">
        <v>0</v>
      </c>
      <c r="AH370" s="16">
        <v>0</v>
      </c>
      <c r="AI370" s="17">
        <v>0</v>
      </c>
      <c r="AJ370" s="16">
        <v>0</v>
      </c>
      <c r="AK370" s="16">
        <v>0</v>
      </c>
      <c r="AL370" s="16">
        <v>1</v>
      </c>
      <c r="AM370" s="16">
        <v>1</v>
      </c>
      <c r="AN370" s="16">
        <v>0</v>
      </c>
      <c r="AO370" s="16">
        <v>1</v>
      </c>
      <c r="AP370" s="17">
        <v>0</v>
      </c>
      <c r="AQ370" s="16">
        <v>0</v>
      </c>
      <c r="AR370" s="17">
        <v>0</v>
      </c>
      <c r="AS370" s="17">
        <v>0</v>
      </c>
      <c r="AT370" s="16">
        <v>0</v>
      </c>
      <c r="AU370" s="17">
        <v>0</v>
      </c>
      <c r="AV370" s="16">
        <v>1</v>
      </c>
      <c r="AW370" s="16">
        <v>0</v>
      </c>
      <c r="AX370" s="16">
        <v>1</v>
      </c>
      <c r="AY370" s="16">
        <v>0</v>
      </c>
      <c r="AZ370" s="16">
        <v>0</v>
      </c>
      <c r="BA370" s="16">
        <v>0</v>
      </c>
      <c r="BB370" s="16">
        <v>0</v>
      </c>
      <c r="BC370" s="17">
        <v>0</v>
      </c>
      <c r="BD370" s="16">
        <v>0</v>
      </c>
      <c r="BE370" s="17">
        <v>1</v>
      </c>
      <c r="BF370" s="17">
        <v>0</v>
      </c>
      <c r="BG370" s="16">
        <v>1</v>
      </c>
      <c r="BH370" s="17">
        <v>1</v>
      </c>
      <c r="BI370" s="16">
        <v>0</v>
      </c>
      <c r="BJ370" s="16">
        <v>1</v>
      </c>
    </row>
    <row r="371" spans="1:62" ht="15.75" customHeight="1" x14ac:dyDescent="0.25">
      <c r="A371" s="64"/>
      <c r="B371" s="18">
        <v>46190</v>
      </c>
      <c r="C371" s="60" t="s">
        <v>65</v>
      </c>
      <c r="D371" s="55">
        <f t="shared" ref="D371:BJ371" si="140">IF($C369="",0,IF(AND(D369=$C369,D370=$C370),5,IF(OR(AND(D369-D370&gt;0,$C369-$C370&gt;0),AND(D370-D369&gt;0,$C370-$C369&gt;0),AND(D369-D370=0,$C369-$C370=0)),2,0)+IF(OR(D369=$C369,D370=$C370),1,0)))</f>
        <v>0</v>
      </c>
      <c r="E371" s="55">
        <f t="shared" si="140"/>
        <v>0</v>
      </c>
      <c r="F371" s="55">
        <f t="shared" si="140"/>
        <v>0</v>
      </c>
      <c r="G371" s="55">
        <f t="shared" si="140"/>
        <v>0</v>
      </c>
      <c r="H371" s="55">
        <f t="shared" si="140"/>
        <v>0</v>
      </c>
      <c r="I371" s="55">
        <f t="shared" si="140"/>
        <v>0</v>
      </c>
      <c r="J371" s="55">
        <f t="shared" si="140"/>
        <v>0</v>
      </c>
      <c r="K371" s="55">
        <f t="shared" si="140"/>
        <v>0</v>
      </c>
      <c r="L371" s="55">
        <f t="shared" si="140"/>
        <v>0</v>
      </c>
      <c r="M371" s="55">
        <f t="shared" si="140"/>
        <v>0</v>
      </c>
      <c r="N371" s="55">
        <f t="shared" si="140"/>
        <v>0</v>
      </c>
      <c r="O371" s="55">
        <f t="shared" si="140"/>
        <v>0</v>
      </c>
      <c r="P371" s="55">
        <f t="shared" si="140"/>
        <v>0</v>
      </c>
      <c r="Q371" s="55">
        <f t="shared" si="140"/>
        <v>0</v>
      </c>
      <c r="R371" s="55">
        <f t="shared" si="140"/>
        <v>0</v>
      </c>
      <c r="S371" s="55">
        <f t="shared" si="140"/>
        <v>0</v>
      </c>
      <c r="T371" s="55">
        <f t="shared" si="140"/>
        <v>0</v>
      </c>
      <c r="U371" s="55">
        <f t="shared" si="140"/>
        <v>0</v>
      </c>
      <c r="V371" s="55">
        <f t="shared" si="140"/>
        <v>0</v>
      </c>
      <c r="W371" s="55">
        <f t="shared" si="140"/>
        <v>0</v>
      </c>
      <c r="X371" s="55">
        <f t="shared" si="140"/>
        <v>0</v>
      </c>
      <c r="Y371" s="55">
        <f t="shared" si="140"/>
        <v>0</v>
      </c>
      <c r="Z371" s="55">
        <f t="shared" si="140"/>
        <v>0</v>
      </c>
      <c r="AA371" s="55">
        <f t="shared" si="140"/>
        <v>0</v>
      </c>
      <c r="AB371" s="55">
        <f t="shared" si="140"/>
        <v>0</v>
      </c>
      <c r="AC371" s="55">
        <f t="shared" si="140"/>
        <v>0</v>
      </c>
      <c r="AD371" s="55">
        <f t="shared" si="140"/>
        <v>0</v>
      </c>
      <c r="AE371" s="55">
        <f t="shared" si="140"/>
        <v>0</v>
      </c>
      <c r="AF371" s="55">
        <f t="shared" si="140"/>
        <v>0</v>
      </c>
      <c r="AG371" s="55">
        <f t="shared" si="140"/>
        <v>0</v>
      </c>
      <c r="AH371" s="55">
        <f t="shared" si="140"/>
        <v>0</v>
      </c>
      <c r="AI371" s="55">
        <f t="shared" si="140"/>
        <v>0</v>
      </c>
      <c r="AJ371" s="55">
        <f t="shared" si="140"/>
        <v>0</v>
      </c>
      <c r="AK371" s="55">
        <f t="shared" si="140"/>
        <v>0</v>
      </c>
      <c r="AL371" s="55">
        <f t="shared" si="140"/>
        <v>0</v>
      </c>
      <c r="AM371" s="55">
        <f t="shared" si="140"/>
        <v>0</v>
      </c>
      <c r="AN371" s="55">
        <f t="shared" si="140"/>
        <v>0</v>
      </c>
      <c r="AO371" s="55">
        <f t="shared" si="140"/>
        <v>0</v>
      </c>
      <c r="AP371" s="55">
        <f t="shared" si="140"/>
        <v>0</v>
      </c>
      <c r="AQ371" s="55">
        <f t="shared" ref="AQ371" si="141">IF($C369="",0,IF(AND(AQ369=$C369,AQ370=$C370),5,IF(OR(AND(AQ369-AQ370&gt;0,$C369-$C370&gt;0),AND(AQ370-AQ369&gt;0,$C370-$C369&gt;0),AND(AQ369-AQ370=0,$C369-$C370=0)),2,0)+IF(OR(AQ369=$C369,AQ370=$C370),1,0)))</f>
        <v>0</v>
      </c>
      <c r="AR371" s="55">
        <f t="shared" si="140"/>
        <v>0</v>
      </c>
      <c r="AS371" s="55">
        <f t="shared" si="140"/>
        <v>0</v>
      </c>
      <c r="AT371" s="55">
        <f t="shared" si="140"/>
        <v>0</v>
      </c>
      <c r="AU371" s="55">
        <f t="shared" si="140"/>
        <v>0</v>
      </c>
      <c r="AV371" s="55">
        <f t="shared" si="140"/>
        <v>0</v>
      </c>
      <c r="AW371" s="55">
        <f t="shared" si="140"/>
        <v>0</v>
      </c>
      <c r="AX371" s="55">
        <f t="shared" si="140"/>
        <v>0</v>
      </c>
      <c r="AY371" s="55">
        <f t="shared" si="140"/>
        <v>0</v>
      </c>
      <c r="AZ371" s="55">
        <f t="shared" si="140"/>
        <v>0</v>
      </c>
      <c r="BA371" s="55">
        <f t="shared" si="140"/>
        <v>0</v>
      </c>
      <c r="BB371" s="55">
        <f t="shared" si="140"/>
        <v>0</v>
      </c>
      <c r="BC371" s="55">
        <f t="shared" si="140"/>
        <v>0</v>
      </c>
      <c r="BD371" s="55">
        <f t="shared" si="140"/>
        <v>0</v>
      </c>
      <c r="BE371" s="55">
        <f t="shared" si="140"/>
        <v>0</v>
      </c>
      <c r="BF371" s="55">
        <f t="shared" si="140"/>
        <v>0</v>
      </c>
      <c r="BG371" s="55">
        <f t="shared" si="140"/>
        <v>0</v>
      </c>
      <c r="BH371" s="55">
        <f t="shared" si="140"/>
        <v>0</v>
      </c>
      <c r="BI371" s="55">
        <f t="shared" si="140"/>
        <v>0</v>
      </c>
      <c r="BJ371" s="55">
        <f t="shared" si="140"/>
        <v>0</v>
      </c>
    </row>
    <row r="372" spans="1:62" ht="15.75" customHeight="1" x14ac:dyDescent="0.25">
      <c r="A372" s="65"/>
      <c r="B372" s="19" t="s">
        <v>125</v>
      </c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</row>
    <row r="373" spans="1:62" ht="15.75" customHeight="1" x14ac:dyDescent="0.25">
      <c r="A373" s="13"/>
      <c r="B373" s="13"/>
      <c r="C373" s="13"/>
      <c r="D373" s="2"/>
      <c r="E373" s="2"/>
      <c r="F373" s="2"/>
      <c r="G373" s="2"/>
      <c r="H373" s="3"/>
      <c r="I373" s="3"/>
      <c r="J373" s="3"/>
    </row>
    <row r="374" spans="1:62" ht="21" customHeight="1" x14ac:dyDescent="0.25">
      <c r="A374" s="63">
        <v>24</v>
      </c>
      <c r="B374" s="14" t="s">
        <v>126</v>
      </c>
      <c r="C374" s="15"/>
      <c r="D374" s="16">
        <v>0</v>
      </c>
      <c r="E374" s="16">
        <v>0</v>
      </c>
      <c r="F374" s="16">
        <v>1</v>
      </c>
      <c r="G374" s="17">
        <v>0</v>
      </c>
      <c r="H374" s="16">
        <v>0</v>
      </c>
      <c r="I374" s="16">
        <v>1</v>
      </c>
      <c r="J374" s="16">
        <v>0</v>
      </c>
      <c r="K374" s="16">
        <v>0</v>
      </c>
      <c r="L374" s="16">
        <v>0</v>
      </c>
      <c r="M374" s="16">
        <v>0</v>
      </c>
      <c r="N374" s="16">
        <v>0</v>
      </c>
      <c r="O374" s="16">
        <v>1</v>
      </c>
      <c r="P374" s="16">
        <v>0</v>
      </c>
      <c r="Q374" s="16">
        <v>1</v>
      </c>
      <c r="R374" s="17">
        <v>0</v>
      </c>
      <c r="S374" s="16">
        <v>1</v>
      </c>
      <c r="T374" s="16">
        <v>1</v>
      </c>
      <c r="U374" s="16">
        <v>0</v>
      </c>
      <c r="V374" s="16">
        <v>0</v>
      </c>
      <c r="W374" s="16">
        <v>1</v>
      </c>
      <c r="X374" s="16">
        <v>0</v>
      </c>
      <c r="Y374" s="16">
        <v>0</v>
      </c>
      <c r="Z374" s="16">
        <v>1</v>
      </c>
      <c r="AA374" s="17">
        <v>1</v>
      </c>
      <c r="AB374" s="16">
        <v>0</v>
      </c>
      <c r="AC374" s="16">
        <v>0</v>
      </c>
      <c r="AD374" s="17">
        <v>0</v>
      </c>
      <c r="AE374" s="17">
        <v>0</v>
      </c>
      <c r="AF374" s="17">
        <v>1</v>
      </c>
      <c r="AG374" s="16">
        <v>0</v>
      </c>
      <c r="AH374" s="16">
        <v>0</v>
      </c>
      <c r="AI374" s="17">
        <v>0</v>
      </c>
      <c r="AJ374" s="16">
        <v>0</v>
      </c>
      <c r="AK374" s="16">
        <v>0</v>
      </c>
      <c r="AL374" s="16">
        <v>0</v>
      </c>
      <c r="AM374" s="16">
        <v>1</v>
      </c>
      <c r="AN374" s="16">
        <v>0</v>
      </c>
      <c r="AO374" s="16">
        <v>0</v>
      </c>
      <c r="AP374" s="17">
        <v>1</v>
      </c>
      <c r="AQ374" s="16">
        <v>0</v>
      </c>
      <c r="AR374" s="17">
        <v>0</v>
      </c>
      <c r="AS374" s="17">
        <v>0</v>
      </c>
      <c r="AT374" s="16">
        <v>1</v>
      </c>
      <c r="AU374" s="17">
        <v>0</v>
      </c>
      <c r="AV374" s="16">
        <v>1</v>
      </c>
      <c r="AW374" s="16">
        <v>0</v>
      </c>
      <c r="AX374" s="16">
        <v>1</v>
      </c>
      <c r="AY374" s="16">
        <v>0</v>
      </c>
      <c r="AZ374" s="16">
        <v>0</v>
      </c>
      <c r="BA374" s="16">
        <v>1</v>
      </c>
      <c r="BB374" s="16">
        <v>0</v>
      </c>
      <c r="BC374" s="17">
        <v>0</v>
      </c>
      <c r="BD374" s="16">
        <v>0</v>
      </c>
      <c r="BE374" s="17">
        <v>2</v>
      </c>
      <c r="BF374" s="17">
        <v>0</v>
      </c>
      <c r="BG374" s="16">
        <v>0</v>
      </c>
      <c r="BH374" s="17">
        <v>0</v>
      </c>
      <c r="BI374" s="16">
        <v>0</v>
      </c>
      <c r="BJ374" s="16">
        <v>0</v>
      </c>
    </row>
    <row r="375" spans="1:62" ht="21" customHeight="1" x14ac:dyDescent="0.25">
      <c r="A375" s="64"/>
      <c r="B375" s="14" t="s">
        <v>127</v>
      </c>
      <c r="C375" s="15"/>
      <c r="D375" s="16">
        <v>2</v>
      </c>
      <c r="E375" s="16">
        <v>3</v>
      </c>
      <c r="F375" s="16">
        <v>3</v>
      </c>
      <c r="G375" s="17">
        <v>3</v>
      </c>
      <c r="H375" s="16">
        <v>2</v>
      </c>
      <c r="I375" s="16">
        <v>2</v>
      </c>
      <c r="J375" s="16">
        <v>2</v>
      </c>
      <c r="K375" s="16">
        <v>3</v>
      </c>
      <c r="L375" s="16">
        <v>2</v>
      </c>
      <c r="M375" s="16">
        <v>2</v>
      </c>
      <c r="N375" s="16">
        <v>2</v>
      </c>
      <c r="O375" s="16">
        <v>2</v>
      </c>
      <c r="P375" s="16">
        <v>3</v>
      </c>
      <c r="Q375" s="16">
        <v>2</v>
      </c>
      <c r="R375" s="17">
        <v>2</v>
      </c>
      <c r="S375" s="16">
        <v>2</v>
      </c>
      <c r="T375" s="16">
        <v>2</v>
      </c>
      <c r="U375" s="16">
        <v>3</v>
      </c>
      <c r="V375" s="16">
        <v>2</v>
      </c>
      <c r="W375" s="16">
        <v>2</v>
      </c>
      <c r="X375" s="16">
        <v>2</v>
      </c>
      <c r="Y375" s="16">
        <v>2</v>
      </c>
      <c r="Z375" s="16">
        <v>1</v>
      </c>
      <c r="AA375" s="17">
        <v>2</v>
      </c>
      <c r="AB375" s="16">
        <v>2</v>
      </c>
      <c r="AC375" s="16">
        <v>2</v>
      </c>
      <c r="AD375" s="17">
        <v>4</v>
      </c>
      <c r="AE375" s="17">
        <v>2</v>
      </c>
      <c r="AF375" s="17">
        <v>2</v>
      </c>
      <c r="AG375" s="16">
        <v>2</v>
      </c>
      <c r="AH375" s="16">
        <v>2</v>
      </c>
      <c r="AI375" s="17">
        <v>4</v>
      </c>
      <c r="AJ375" s="16">
        <v>3</v>
      </c>
      <c r="AK375" s="16">
        <v>2</v>
      </c>
      <c r="AL375" s="16">
        <v>2</v>
      </c>
      <c r="AM375" s="16">
        <v>2</v>
      </c>
      <c r="AN375" s="16">
        <v>2</v>
      </c>
      <c r="AO375" s="16">
        <v>2</v>
      </c>
      <c r="AP375" s="17">
        <v>2</v>
      </c>
      <c r="AQ375" s="16">
        <v>2</v>
      </c>
      <c r="AR375" s="17">
        <v>2</v>
      </c>
      <c r="AS375" s="17">
        <v>2</v>
      </c>
      <c r="AT375" s="16">
        <v>1</v>
      </c>
      <c r="AU375" s="17">
        <v>2</v>
      </c>
      <c r="AV375" s="16">
        <v>3</v>
      </c>
      <c r="AW375" s="16">
        <v>3</v>
      </c>
      <c r="AX375" s="16">
        <v>3</v>
      </c>
      <c r="AY375" s="16">
        <v>2</v>
      </c>
      <c r="AZ375" s="16">
        <v>2</v>
      </c>
      <c r="BA375" s="16">
        <v>2</v>
      </c>
      <c r="BB375" s="16">
        <v>3</v>
      </c>
      <c r="BC375" s="17">
        <v>2</v>
      </c>
      <c r="BD375" s="16">
        <v>3</v>
      </c>
      <c r="BE375" s="17">
        <v>3</v>
      </c>
      <c r="BF375" s="17">
        <v>3</v>
      </c>
      <c r="BG375" s="16">
        <v>2</v>
      </c>
      <c r="BH375" s="17">
        <v>2</v>
      </c>
      <c r="BI375" s="16">
        <v>3</v>
      </c>
      <c r="BJ375" s="16">
        <v>1</v>
      </c>
    </row>
    <row r="376" spans="1:62" ht="15.75" customHeight="1" x14ac:dyDescent="0.25">
      <c r="A376" s="64"/>
      <c r="B376" s="18">
        <v>46190</v>
      </c>
      <c r="C376" s="60" t="s">
        <v>65</v>
      </c>
      <c r="D376" s="55">
        <f t="shared" ref="D376:BJ376" si="142">IF($C374="",0,IF(AND(D374=$C374,D375=$C375),5,IF(OR(AND(D374-D375&gt;0,$C374-$C375&gt;0),AND(D375-D374&gt;0,$C375-$C374&gt;0),AND(D374-D375=0,$C374-$C375=0)),2,0)+IF(OR(D374=$C374,D375=$C375),1,0)))</f>
        <v>0</v>
      </c>
      <c r="E376" s="55">
        <f t="shared" si="142"/>
        <v>0</v>
      </c>
      <c r="F376" s="55">
        <f t="shared" si="142"/>
        <v>0</v>
      </c>
      <c r="G376" s="55">
        <f t="shared" si="142"/>
        <v>0</v>
      </c>
      <c r="H376" s="55">
        <f t="shared" si="142"/>
        <v>0</v>
      </c>
      <c r="I376" s="55">
        <f t="shared" si="142"/>
        <v>0</v>
      </c>
      <c r="J376" s="55">
        <f t="shared" si="142"/>
        <v>0</v>
      </c>
      <c r="K376" s="55">
        <f t="shared" si="142"/>
        <v>0</v>
      </c>
      <c r="L376" s="55">
        <f t="shared" si="142"/>
        <v>0</v>
      </c>
      <c r="M376" s="55">
        <f t="shared" si="142"/>
        <v>0</v>
      </c>
      <c r="N376" s="55">
        <f t="shared" si="142"/>
        <v>0</v>
      </c>
      <c r="O376" s="55">
        <f t="shared" si="142"/>
        <v>0</v>
      </c>
      <c r="P376" s="55">
        <f t="shared" si="142"/>
        <v>0</v>
      </c>
      <c r="Q376" s="55">
        <f t="shared" si="142"/>
        <v>0</v>
      </c>
      <c r="R376" s="55">
        <f t="shared" si="142"/>
        <v>0</v>
      </c>
      <c r="S376" s="55">
        <f t="shared" si="142"/>
        <v>0</v>
      </c>
      <c r="T376" s="55">
        <f t="shared" si="142"/>
        <v>0</v>
      </c>
      <c r="U376" s="55">
        <f t="shared" si="142"/>
        <v>0</v>
      </c>
      <c r="V376" s="55">
        <f t="shared" si="142"/>
        <v>0</v>
      </c>
      <c r="W376" s="55">
        <f t="shared" si="142"/>
        <v>0</v>
      </c>
      <c r="X376" s="55">
        <f t="shared" si="142"/>
        <v>0</v>
      </c>
      <c r="Y376" s="55">
        <f t="shared" si="142"/>
        <v>0</v>
      </c>
      <c r="Z376" s="55">
        <f t="shared" si="142"/>
        <v>0</v>
      </c>
      <c r="AA376" s="55">
        <f t="shared" si="142"/>
        <v>0</v>
      </c>
      <c r="AB376" s="55">
        <f t="shared" si="142"/>
        <v>0</v>
      </c>
      <c r="AC376" s="55">
        <f t="shared" si="142"/>
        <v>0</v>
      </c>
      <c r="AD376" s="55">
        <f t="shared" si="142"/>
        <v>0</v>
      </c>
      <c r="AE376" s="55">
        <f t="shared" si="142"/>
        <v>0</v>
      </c>
      <c r="AF376" s="55">
        <f t="shared" si="142"/>
        <v>0</v>
      </c>
      <c r="AG376" s="55">
        <f t="shared" si="142"/>
        <v>0</v>
      </c>
      <c r="AH376" s="55">
        <f t="shared" si="142"/>
        <v>0</v>
      </c>
      <c r="AI376" s="55">
        <f t="shared" si="142"/>
        <v>0</v>
      </c>
      <c r="AJ376" s="55">
        <f t="shared" si="142"/>
        <v>0</v>
      </c>
      <c r="AK376" s="55">
        <f t="shared" si="142"/>
        <v>0</v>
      </c>
      <c r="AL376" s="55">
        <f t="shared" si="142"/>
        <v>0</v>
      </c>
      <c r="AM376" s="55">
        <f t="shared" si="142"/>
        <v>0</v>
      </c>
      <c r="AN376" s="55">
        <f t="shared" si="142"/>
        <v>0</v>
      </c>
      <c r="AO376" s="55">
        <f t="shared" si="142"/>
        <v>0</v>
      </c>
      <c r="AP376" s="55">
        <f t="shared" si="142"/>
        <v>0</v>
      </c>
      <c r="AQ376" s="55">
        <f t="shared" ref="AQ376" si="143">IF($C374="",0,IF(AND(AQ374=$C374,AQ375=$C375),5,IF(OR(AND(AQ374-AQ375&gt;0,$C374-$C375&gt;0),AND(AQ375-AQ374&gt;0,$C375-$C374&gt;0),AND(AQ374-AQ375=0,$C374-$C375=0)),2,0)+IF(OR(AQ374=$C374,AQ375=$C375),1,0)))</f>
        <v>0</v>
      </c>
      <c r="AR376" s="55">
        <f t="shared" si="142"/>
        <v>0</v>
      </c>
      <c r="AS376" s="55">
        <f t="shared" si="142"/>
        <v>0</v>
      </c>
      <c r="AT376" s="55">
        <f t="shared" si="142"/>
        <v>0</v>
      </c>
      <c r="AU376" s="55">
        <f t="shared" si="142"/>
        <v>0</v>
      </c>
      <c r="AV376" s="55">
        <f t="shared" si="142"/>
        <v>0</v>
      </c>
      <c r="AW376" s="55">
        <f t="shared" si="142"/>
        <v>0</v>
      </c>
      <c r="AX376" s="55">
        <f t="shared" si="142"/>
        <v>0</v>
      </c>
      <c r="AY376" s="55">
        <f t="shared" si="142"/>
        <v>0</v>
      </c>
      <c r="AZ376" s="55">
        <f t="shared" si="142"/>
        <v>0</v>
      </c>
      <c r="BA376" s="55">
        <f t="shared" si="142"/>
        <v>0</v>
      </c>
      <c r="BB376" s="55">
        <f t="shared" si="142"/>
        <v>0</v>
      </c>
      <c r="BC376" s="55">
        <f t="shared" si="142"/>
        <v>0</v>
      </c>
      <c r="BD376" s="55">
        <f t="shared" si="142"/>
        <v>0</v>
      </c>
      <c r="BE376" s="55">
        <f t="shared" si="142"/>
        <v>0</v>
      </c>
      <c r="BF376" s="55">
        <f t="shared" si="142"/>
        <v>0</v>
      </c>
      <c r="BG376" s="55">
        <f t="shared" si="142"/>
        <v>0</v>
      </c>
      <c r="BH376" s="55">
        <f t="shared" si="142"/>
        <v>0</v>
      </c>
      <c r="BI376" s="55">
        <f t="shared" si="142"/>
        <v>0</v>
      </c>
      <c r="BJ376" s="55">
        <f t="shared" si="142"/>
        <v>0</v>
      </c>
    </row>
    <row r="377" spans="1:62" ht="15.75" customHeight="1" x14ac:dyDescent="0.25">
      <c r="A377" s="65"/>
      <c r="B377" s="19">
        <v>0.875</v>
      </c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</row>
    <row r="378" spans="1:62" ht="15.75" customHeight="1" x14ac:dyDescent="0.25">
      <c r="A378" s="13"/>
      <c r="B378" s="13"/>
      <c r="C378" s="20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</row>
    <row r="379" spans="1:62" ht="23.25" customHeight="1" x14ac:dyDescent="0.25">
      <c r="A379" s="61">
        <v>47</v>
      </c>
      <c r="B379" s="14" t="s">
        <v>123</v>
      </c>
      <c r="C379" s="15"/>
      <c r="D379" s="16">
        <v>2</v>
      </c>
      <c r="E379" s="16">
        <v>3</v>
      </c>
      <c r="F379" s="16">
        <v>4</v>
      </c>
      <c r="G379" s="17">
        <v>2</v>
      </c>
      <c r="H379" s="16">
        <v>2</v>
      </c>
      <c r="I379" s="16">
        <v>3</v>
      </c>
      <c r="J379" s="16">
        <v>2</v>
      </c>
      <c r="K379" s="16">
        <v>2</v>
      </c>
      <c r="L379" s="16">
        <v>3</v>
      </c>
      <c r="M379" s="16">
        <v>2</v>
      </c>
      <c r="N379" s="16">
        <v>3</v>
      </c>
      <c r="O379" s="16">
        <v>2</v>
      </c>
      <c r="P379" s="16">
        <v>2</v>
      </c>
      <c r="Q379" s="16">
        <v>3</v>
      </c>
      <c r="R379" s="17">
        <v>2</v>
      </c>
      <c r="S379" s="16">
        <v>2</v>
      </c>
      <c r="T379" s="16">
        <v>2</v>
      </c>
      <c r="U379" s="16">
        <v>2</v>
      </c>
      <c r="V379" s="16">
        <v>2</v>
      </c>
      <c r="W379" s="16">
        <v>4</v>
      </c>
      <c r="X379" s="16">
        <v>2</v>
      </c>
      <c r="Y379" s="16">
        <v>2</v>
      </c>
      <c r="Z379" s="16">
        <v>3</v>
      </c>
      <c r="AA379" s="17">
        <v>3</v>
      </c>
      <c r="AB379" s="16">
        <v>2</v>
      </c>
      <c r="AC379" s="16">
        <v>2</v>
      </c>
      <c r="AD379" s="17">
        <v>4</v>
      </c>
      <c r="AE379" s="17">
        <v>2</v>
      </c>
      <c r="AF379" s="17">
        <v>2</v>
      </c>
      <c r="AG379" s="16">
        <v>3</v>
      </c>
      <c r="AH379" s="16">
        <v>2</v>
      </c>
      <c r="AI379" s="17">
        <v>4</v>
      </c>
      <c r="AJ379" s="16">
        <v>4</v>
      </c>
      <c r="AK379" s="16">
        <v>3</v>
      </c>
      <c r="AL379" s="16">
        <v>4</v>
      </c>
      <c r="AM379" s="16">
        <v>2</v>
      </c>
      <c r="AN379" s="16">
        <v>3</v>
      </c>
      <c r="AO379" s="16">
        <v>3</v>
      </c>
      <c r="AP379" s="17">
        <v>3</v>
      </c>
      <c r="AQ379" s="16">
        <v>3</v>
      </c>
      <c r="AR379" s="17">
        <v>3</v>
      </c>
      <c r="AS379" s="17">
        <v>2</v>
      </c>
      <c r="AT379" s="16">
        <v>2</v>
      </c>
      <c r="AU379" s="17">
        <v>2</v>
      </c>
      <c r="AV379" s="16">
        <v>2</v>
      </c>
      <c r="AW379" s="16">
        <v>3</v>
      </c>
      <c r="AX379" s="16">
        <v>2</v>
      </c>
      <c r="AY379" s="16">
        <v>3</v>
      </c>
      <c r="AZ379" s="16">
        <v>3</v>
      </c>
      <c r="BA379" s="16">
        <v>4</v>
      </c>
      <c r="BB379" s="16">
        <v>3</v>
      </c>
      <c r="BC379" s="17">
        <v>3</v>
      </c>
      <c r="BD379" s="16">
        <v>3</v>
      </c>
      <c r="BE379" s="17">
        <v>2</v>
      </c>
      <c r="BF379" s="17">
        <v>3</v>
      </c>
      <c r="BG379" s="16">
        <v>2</v>
      </c>
      <c r="BH379" s="17">
        <v>3</v>
      </c>
      <c r="BI379" s="16">
        <v>4</v>
      </c>
      <c r="BJ379" s="16">
        <v>2</v>
      </c>
    </row>
    <row r="380" spans="1:62" ht="23.25" customHeight="1" x14ac:dyDescent="0.25">
      <c r="A380" s="62"/>
      <c r="B380" s="14" t="s">
        <v>126</v>
      </c>
      <c r="C380" s="15"/>
      <c r="D380" s="16">
        <v>0</v>
      </c>
      <c r="E380" s="16">
        <v>1</v>
      </c>
      <c r="F380" s="16">
        <v>0</v>
      </c>
      <c r="G380" s="17">
        <v>0</v>
      </c>
      <c r="H380" s="16">
        <v>0</v>
      </c>
      <c r="I380" s="16">
        <v>0</v>
      </c>
      <c r="J380" s="16">
        <v>0</v>
      </c>
      <c r="K380" s="16">
        <v>1</v>
      </c>
      <c r="L380" s="16">
        <v>0</v>
      </c>
      <c r="M380" s="16">
        <v>0</v>
      </c>
      <c r="N380" s="16">
        <v>1</v>
      </c>
      <c r="O380" s="16">
        <v>0</v>
      </c>
      <c r="P380" s="16">
        <v>0</v>
      </c>
      <c r="Q380" s="16">
        <v>1</v>
      </c>
      <c r="R380" s="17">
        <v>0</v>
      </c>
      <c r="S380" s="16">
        <v>1</v>
      </c>
      <c r="T380" s="16">
        <v>1</v>
      </c>
      <c r="U380" s="16">
        <v>0</v>
      </c>
      <c r="V380" s="16">
        <v>0</v>
      </c>
      <c r="W380" s="16">
        <v>1</v>
      </c>
      <c r="X380" s="16">
        <v>0</v>
      </c>
      <c r="Y380" s="16">
        <v>0</v>
      </c>
      <c r="Z380" s="16">
        <v>1</v>
      </c>
      <c r="AA380" s="17">
        <v>0</v>
      </c>
      <c r="AB380" s="16">
        <v>0</v>
      </c>
      <c r="AC380" s="16">
        <v>1</v>
      </c>
      <c r="AD380" s="17">
        <v>0</v>
      </c>
      <c r="AE380" s="17">
        <v>0</v>
      </c>
      <c r="AF380" s="17">
        <v>1</v>
      </c>
      <c r="AG380" s="16">
        <v>0</v>
      </c>
      <c r="AH380" s="16">
        <v>0</v>
      </c>
      <c r="AI380" s="17">
        <v>0</v>
      </c>
      <c r="AJ380" s="16">
        <v>1</v>
      </c>
      <c r="AK380" s="16">
        <v>1</v>
      </c>
      <c r="AL380" s="16">
        <v>0</v>
      </c>
      <c r="AM380" s="16">
        <v>0</v>
      </c>
      <c r="AN380" s="16">
        <v>0</v>
      </c>
      <c r="AO380" s="16">
        <v>0</v>
      </c>
      <c r="AP380" s="17">
        <v>0</v>
      </c>
      <c r="AQ380" s="16">
        <v>1</v>
      </c>
      <c r="AR380" s="17">
        <v>0</v>
      </c>
      <c r="AS380" s="17">
        <v>1</v>
      </c>
      <c r="AT380" s="16">
        <v>0</v>
      </c>
      <c r="AU380" s="17">
        <v>0</v>
      </c>
      <c r="AV380" s="16">
        <v>1</v>
      </c>
      <c r="AW380" s="16">
        <v>0</v>
      </c>
      <c r="AX380" s="16">
        <v>0</v>
      </c>
      <c r="AY380" s="16">
        <v>1</v>
      </c>
      <c r="AZ380" s="16">
        <v>0</v>
      </c>
      <c r="BA380" s="16">
        <v>0</v>
      </c>
      <c r="BB380" s="16">
        <v>0</v>
      </c>
      <c r="BC380" s="17">
        <v>0</v>
      </c>
      <c r="BD380" s="16">
        <v>0</v>
      </c>
      <c r="BE380" s="17">
        <v>1</v>
      </c>
      <c r="BF380" s="17">
        <v>0</v>
      </c>
      <c r="BG380" s="16">
        <v>0</v>
      </c>
      <c r="BH380" s="17">
        <v>0</v>
      </c>
      <c r="BI380" s="16">
        <v>1</v>
      </c>
      <c r="BJ380" s="16">
        <v>0</v>
      </c>
    </row>
    <row r="381" spans="1:62" ht="15.75" customHeight="1" x14ac:dyDescent="0.25">
      <c r="A381" s="62"/>
      <c r="B381" s="18">
        <v>46196</v>
      </c>
      <c r="C381" s="60" t="s">
        <v>65</v>
      </c>
      <c r="D381" s="55">
        <f t="shared" ref="D381:BJ381" si="144">IF($C379="",0,IF(AND(D379=$C379,D380=$C380),5,IF(OR(AND(D379-D380&gt;0,$C379-$C380&gt;0),AND(D380-D379&gt;0,$C380-$C379&gt;0),AND(D379-D380=0,$C379-$C380=0)),2,0)+IF(OR(D379=$C379,D380=$C380),1,0)))</f>
        <v>0</v>
      </c>
      <c r="E381" s="55">
        <f t="shared" si="144"/>
        <v>0</v>
      </c>
      <c r="F381" s="55">
        <f t="shared" si="144"/>
        <v>0</v>
      </c>
      <c r="G381" s="55">
        <f t="shared" si="144"/>
        <v>0</v>
      </c>
      <c r="H381" s="55">
        <f t="shared" si="144"/>
        <v>0</v>
      </c>
      <c r="I381" s="55">
        <f t="shared" si="144"/>
        <v>0</v>
      </c>
      <c r="J381" s="55">
        <f t="shared" si="144"/>
        <v>0</v>
      </c>
      <c r="K381" s="55">
        <f t="shared" si="144"/>
        <v>0</v>
      </c>
      <c r="L381" s="55">
        <f t="shared" si="144"/>
        <v>0</v>
      </c>
      <c r="M381" s="55">
        <f t="shared" si="144"/>
        <v>0</v>
      </c>
      <c r="N381" s="55">
        <f t="shared" si="144"/>
        <v>0</v>
      </c>
      <c r="O381" s="55">
        <f t="shared" si="144"/>
        <v>0</v>
      </c>
      <c r="P381" s="55">
        <f t="shared" si="144"/>
        <v>0</v>
      </c>
      <c r="Q381" s="55">
        <f t="shared" si="144"/>
        <v>0</v>
      </c>
      <c r="R381" s="55">
        <f t="shared" si="144"/>
        <v>0</v>
      </c>
      <c r="S381" s="55">
        <f t="shared" si="144"/>
        <v>0</v>
      </c>
      <c r="T381" s="55">
        <f t="shared" si="144"/>
        <v>0</v>
      </c>
      <c r="U381" s="55">
        <f t="shared" si="144"/>
        <v>0</v>
      </c>
      <c r="V381" s="55">
        <f t="shared" si="144"/>
        <v>0</v>
      </c>
      <c r="W381" s="55">
        <f t="shared" si="144"/>
        <v>0</v>
      </c>
      <c r="X381" s="55">
        <f t="shared" si="144"/>
        <v>0</v>
      </c>
      <c r="Y381" s="55">
        <f t="shared" si="144"/>
        <v>0</v>
      </c>
      <c r="Z381" s="55">
        <f t="shared" si="144"/>
        <v>0</v>
      </c>
      <c r="AA381" s="55">
        <f t="shared" si="144"/>
        <v>0</v>
      </c>
      <c r="AB381" s="55">
        <f t="shared" si="144"/>
        <v>0</v>
      </c>
      <c r="AC381" s="55">
        <f t="shared" si="144"/>
        <v>0</v>
      </c>
      <c r="AD381" s="55">
        <f t="shared" si="144"/>
        <v>0</v>
      </c>
      <c r="AE381" s="55">
        <f t="shared" si="144"/>
        <v>0</v>
      </c>
      <c r="AF381" s="55">
        <f t="shared" si="144"/>
        <v>0</v>
      </c>
      <c r="AG381" s="55">
        <f t="shared" si="144"/>
        <v>0</v>
      </c>
      <c r="AH381" s="55">
        <f t="shared" si="144"/>
        <v>0</v>
      </c>
      <c r="AI381" s="55">
        <f t="shared" si="144"/>
        <v>0</v>
      </c>
      <c r="AJ381" s="55">
        <f t="shared" si="144"/>
        <v>0</v>
      </c>
      <c r="AK381" s="55">
        <f t="shared" si="144"/>
        <v>0</v>
      </c>
      <c r="AL381" s="55">
        <f t="shared" si="144"/>
        <v>0</v>
      </c>
      <c r="AM381" s="55">
        <f t="shared" si="144"/>
        <v>0</v>
      </c>
      <c r="AN381" s="55">
        <f t="shared" si="144"/>
        <v>0</v>
      </c>
      <c r="AO381" s="55">
        <f t="shared" si="144"/>
        <v>0</v>
      </c>
      <c r="AP381" s="55">
        <f t="shared" si="144"/>
        <v>0</v>
      </c>
      <c r="AQ381" s="55">
        <f t="shared" ref="AQ381" si="145">IF($C379="",0,IF(AND(AQ379=$C379,AQ380=$C380),5,IF(OR(AND(AQ379-AQ380&gt;0,$C379-$C380&gt;0),AND(AQ380-AQ379&gt;0,$C380-$C379&gt;0),AND(AQ379-AQ380=0,$C379-$C380=0)),2,0)+IF(OR(AQ379=$C379,AQ380=$C380),1,0)))</f>
        <v>0</v>
      </c>
      <c r="AR381" s="55">
        <f t="shared" si="144"/>
        <v>0</v>
      </c>
      <c r="AS381" s="55">
        <f t="shared" si="144"/>
        <v>0</v>
      </c>
      <c r="AT381" s="55">
        <f t="shared" si="144"/>
        <v>0</v>
      </c>
      <c r="AU381" s="55">
        <f t="shared" si="144"/>
        <v>0</v>
      </c>
      <c r="AV381" s="55">
        <f t="shared" si="144"/>
        <v>0</v>
      </c>
      <c r="AW381" s="55">
        <f t="shared" si="144"/>
        <v>0</v>
      </c>
      <c r="AX381" s="55">
        <f t="shared" si="144"/>
        <v>0</v>
      </c>
      <c r="AY381" s="55">
        <f t="shared" si="144"/>
        <v>0</v>
      </c>
      <c r="AZ381" s="55">
        <f t="shared" si="144"/>
        <v>0</v>
      </c>
      <c r="BA381" s="55">
        <f t="shared" si="144"/>
        <v>0</v>
      </c>
      <c r="BB381" s="55">
        <f t="shared" si="144"/>
        <v>0</v>
      </c>
      <c r="BC381" s="55">
        <f t="shared" si="144"/>
        <v>0</v>
      </c>
      <c r="BD381" s="55">
        <f t="shared" si="144"/>
        <v>0</v>
      </c>
      <c r="BE381" s="55">
        <f t="shared" si="144"/>
        <v>0</v>
      </c>
      <c r="BF381" s="55">
        <f t="shared" si="144"/>
        <v>0</v>
      </c>
      <c r="BG381" s="55">
        <f t="shared" si="144"/>
        <v>0</v>
      </c>
      <c r="BH381" s="55">
        <f t="shared" si="144"/>
        <v>0</v>
      </c>
      <c r="BI381" s="55">
        <f t="shared" si="144"/>
        <v>0</v>
      </c>
      <c r="BJ381" s="55">
        <f t="shared" si="144"/>
        <v>0</v>
      </c>
    </row>
    <row r="382" spans="1:62" ht="15.75" customHeight="1" x14ac:dyDescent="0.25">
      <c r="A382" s="62"/>
      <c r="B382" s="19" t="s">
        <v>125</v>
      </c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</row>
    <row r="383" spans="1:62" ht="15.75" customHeight="1" x14ac:dyDescent="0.25">
      <c r="A383" s="13"/>
      <c r="B383" s="13"/>
      <c r="C383" s="20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</row>
    <row r="384" spans="1:62" ht="22.5" customHeight="1" x14ac:dyDescent="0.25">
      <c r="A384" s="61">
        <v>48</v>
      </c>
      <c r="B384" s="14" t="s">
        <v>127</v>
      </c>
      <c r="C384" s="15"/>
      <c r="D384" s="16">
        <v>2</v>
      </c>
      <c r="E384" s="16">
        <v>2</v>
      </c>
      <c r="F384" s="16">
        <v>3</v>
      </c>
      <c r="G384" s="17">
        <v>2</v>
      </c>
      <c r="H384" s="16">
        <v>3</v>
      </c>
      <c r="I384" s="16">
        <v>3</v>
      </c>
      <c r="J384" s="16">
        <v>2</v>
      </c>
      <c r="K384" s="16">
        <v>2</v>
      </c>
      <c r="L384" s="16">
        <v>2</v>
      </c>
      <c r="M384" s="16">
        <v>2</v>
      </c>
      <c r="N384" s="16">
        <v>3</v>
      </c>
      <c r="O384" s="16">
        <v>3</v>
      </c>
      <c r="P384" s="16">
        <v>2</v>
      </c>
      <c r="Q384" s="16">
        <v>3</v>
      </c>
      <c r="R384" s="17">
        <v>2</v>
      </c>
      <c r="S384" s="16">
        <v>2</v>
      </c>
      <c r="T384" s="16">
        <v>1</v>
      </c>
      <c r="U384" s="16">
        <v>2</v>
      </c>
      <c r="V384" s="16">
        <v>2</v>
      </c>
      <c r="W384" s="16">
        <v>3</v>
      </c>
      <c r="X384" s="16">
        <v>2</v>
      </c>
      <c r="Y384" s="16">
        <v>2</v>
      </c>
      <c r="Z384" s="16">
        <v>0</v>
      </c>
      <c r="AA384" s="17">
        <v>1</v>
      </c>
      <c r="AB384" s="16">
        <v>2</v>
      </c>
      <c r="AC384" s="16">
        <v>2</v>
      </c>
      <c r="AD384" s="17">
        <v>2</v>
      </c>
      <c r="AE384" s="17">
        <v>2</v>
      </c>
      <c r="AF384" s="17">
        <v>3</v>
      </c>
      <c r="AG384" s="16">
        <v>2</v>
      </c>
      <c r="AH384" s="16">
        <v>3</v>
      </c>
      <c r="AI384" s="17">
        <v>2</v>
      </c>
      <c r="AJ384" s="16">
        <v>2</v>
      </c>
      <c r="AK384" s="16">
        <v>2</v>
      </c>
      <c r="AL384" s="16">
        <v>2</v>
      </c>
      <c r="AM384" s="16">
        <v>2</v>
      </c>
      <c r="AN384" s="16">
        <v>3</v>
      </c>
      <c r="AO384" s="16">
        <v>2</v>
      </c>
      <c r="AP384" s="17">
        <v>2</v>
      </c>
      <c r="AQ384" s="16">
        <v>2</v>
      </c>
      <c r="AR384" s="17">
        <v>2</v>
      </c>
      <c r="AS384" s="17">
        <v>1</v>
      </c>
      <c r="AT384" s="16">
        <v>2</v>
      </c>
      <c r="AU384" s="17">
        <v>2</v>
      </c>
      <c r="AV384" s="16">
        <v>2</v>
      </c>
      <c r="AW384" s="16">
        <v>2</v>
      </c>
      <c r="AX384" s="16">
        <v>2</v>
      </c>
      <c r="AY384" s="16">
        <v>2</v>
      </c>
      <c r="AZ384" s="16">
        <v>2</v>
      </c>
      <c r="BA384" s="16">
        <v>2</v>
      </c>
      <c r="BB384" s="16">
        <v>2</v>
      </c>
      <c r="BC384" s="17">
        <v>2</v>
      </c>
      <c r="BD384" s="16">
        <v>2</v>
      </c>
      <c r="BE384" s="17">
        <v>3</v>
      </c>
      <c r="BF384" s="17">
        <v>2</v>
      </c>
      <c r="BG384" s="16">
        <v>2</v>
      </c>
      <c r="BH384" s="17">
        <v>2</v>
      </c>
      <c r="BI384" s="16">
        <v>2</v>
      </c>
      <c r="BJ384" s="16">
        <v>1</v>
      </c>
    </row>
    <row r="385" spans="1:62" ht="22.5" customHeight="1" x14ac:dyDescent="0.25">
      <c r="A385" s="62"/>
      <c r="B385" s="14" t="s">
        <v>124</v>
      </c>
      <c r="C385" s="15"/>
      <c r="D385" s="16">
        <v>0</v>
      </c>
      <c r="E385" s="16">
        <v>0</v>
      </c>
      <c r="F385" s="16">
        <v>1</v>
      </c>
      <c r="G385" s="17">
        <v>0</v>
      </c>
      <c r="H385" s="16">
        <v>1</v>
      </c>
      <c r="I385" s="16">
        <v>2</v>
      </c>
      <c r="J385" s="16">
        <v>1</v>
      </c>
      <c r="K385" s="16">
        <v>0</v>
      </c>
      <c r="L385" s="16">
        <v>1</v>
      </c>
      <c r="M385" s="16">
        <v>1</v>
      </c>
      <c r="N385" s="16">
        <v>1</v>
      </c>
      <c r="O385" s="16">
        <v>1</v>
      </c>
      <c r="P385" s="16">
        <v>0</v>
      </c>
      <c r="Q385" s="16">
        <v>0</v>
      </c>
      <c r="R385" s="17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1</v>
      </c>
      <c r="Y385" s="16">
        <v>0</v>
      </c>
      <c r="Z385" s="16">
        <v>0</v>
      </c>
      <c r="AA385" s="17">
        <v>1</v>
      </c>
      <c r="AB385" s="16">
        <v>0</v>
      </c>
      <c r="AC385" s="16">
        <v>1</v>
      </c>
      <c r="AD385" s="17">
        <v>0</v>
      </c>
      <c r="AE385" s="17">
        <v>1</v>
      </c>
      <c r="AF385" s="17">
        <v>0</v>
      </c>
      <c r="AG385" s="16">
        <v>1</v>
      </c>
      <c r="AH385" s="16">
        <v>1</v>
      </c>
      <c r="AI385" s="17">
        <v>0</v>
      </c>
      <c r="AJ385" s="16">
        <v>2</v>
      </c>
      <c r="AK385" s="16">
        <v>0</v>
      </c>
      <c r="AL385" s="16">
        <v>1</v>
      </c>
      <c r="AM385" s="16">
        <v>1</v>
      </c>
      <c r="AN385" s="16">
        <v>1</v>
      </c>
      <c r="AO385" s="16">
        <v>0</v>
      </c>
      <c r="AP385" s="17">
        <v>1</v>
      </c>
      <c r="AQ385" s="16">
        <v>1</v>
      </c>
      <c r="AR385" s="17">
        <v>1</v>
      </c>
      <c r="AS385" s="17">
        <v>0</v>
      </c>
      <c r="AT385" s="16">
        <v>1</v>
      </c>
      <c r="AU385" s="17">
        <v>0</v>
      </c>
      <c r="AV385" s="16">
        <v>0</v>
      </c>
      <c r="AW385" s="16">
        <v>1</v>
      </c>
      <c r="AX385" s="16">
        <v>0</v>
      </c>
      <c r="AY385" s="16">
        <v>1</v>
      </c>
      <c r="AZ385" s="16">
        <v>1</v>
      </c>
      <c r="BA385" s="16">
        <v>0</v>
      </c>
      <c r="BB385" s="16">
        <v>0</v>
      </c>
      <c r="BC385" s="17">
        <v>1</v>
      </c>
      <c r="BD385" s="16">
        <v>1</v>
      </c>
      <c r="BE385" s="17">
        <v>0</v>
      </c>
      <c r="BF385" s="17">
        <v>1</v>
      </c>
      <c r="BG385" s="16">
        <v>1</v>
      </c>
      <c r="BH385" s="17">
        <v>1</v>
      </c>
      <c r="BI385" s="16">
        <v>0</v>
      </c>
      <c r="BJ385" s="16">
        <v>1</v>
      </c>
    </row>
    <row r="386" spans="1:62" ht="15.75" customHeight="1" x14ac:dyDescent="0.25">
      <c r="A386" s="62"/>
      <c r="B386" s="18">
        <v>46196</v>
      </c>
      <c r="C386" s="60" t="s">
        <v>65</v>
      </c>
      <c r="D386" s="55">
        <f t="shared" ref="D386:BJ386" si="146">IF($C369="",0,IF(AND(D384=$C384,D385=$C385),5,IF(OR(AND(D384-D385&gt;0,$C384-$C385&gt;0),AND(D385-D384&gt;0,$C385-$C384&gt;0),AND(D384-D385=0,$C384-$C385=0)),2,0)+IF(OR(D384=$C384,D385=$C385),1,0)))</f>
        <v>0</v>
      </c>
      <c r="E386" s="55">
        <f t="shared" si="146"/>
        <v>0</v>
      </c>
      <c r="F386" s="55">
        <f t="shared" si="146"/>
        <v>0</v>
      </c>
      <c r="G386" s="55">
        <f t="shared" si="146"/>
        <v>0</v>
      </c>
      <c r="H386" s="55">
        <f t="shared" si="146"/>
        <v>0</v>
      </c>
      <c r="I386" s="55">
        <f t="shared" si="146"/>
        <v>0</v>
      </c>
      <c r="J386" s="55">
        <f t="shared" si="146"/>
        <v>0</v>
      </c>
      <c r="K386" s="55">
        <f t="shared" si="146"/>
        <v>0</v>
      </c>
      <c r="L386" s="55">
        <f t="shared" si="146"/>
        <v>0</v>
      </c>
      <c r="M386" s="55">
        <f t="shared" si="146"/>
        <v>0</v>
      </c>
      <c r="N386" s="55">
        <f t="shared" si="146"/>
        <v>0</v>
      </c>
      <c r="O386" s="55">
        <f t="shared" si="146"/>
        <v>0</v>
      </c>
      <c r="P386" s="55">
        <f t="shared" si="146"/>
        <v>0</v>
      </c>
      <c r="Q386" s="55">
        <f t="shared" si="146"/>
        <v>0</v>
      </c>
      <c r="R386" s="55">
        <f t="shared" si="146"/>
        <v>0</v>
      </c>
      <c r="S386" s="55">
        <f t="shared" si="146"/>
        <v>0</v>
      </c>
      <c r="T386" s="55">
        <f t="shared" si="146"/>
        <v>0</v>
      </c>
      <c r="U386" s="55">
        <f t="shared" si="146"/>
        <v>0</v>
      </c>
      <c r="V386" s="55">
        <f t="shared" si="146"/>
        <v>0</v>
      </c>
      <c r="W386" s="55">
        <f t="shared" si="146"/>
        <v>0</v>
      </c>
      <c r="X386" s="55">
        <f t="shared" si="146"/>
        <v>0</v>
      </c>
      <c r="Y386" s="55">
        <f t="shared" si="146"/>
        <v>0</v>
      </c>
      <c r="Z386" s="55">
        <f t="shared" si="146"/>
        <v>0</v>
      </c>
      <c r="AA386" s="55">
        <f t="shared" si="146"/>
        <v>0</v>
      </c>
      <c r="AB386" s="55">
        <f t="shared" si="146"/>
        <v>0</v>
      </c>
      <c r="AC386" s="55">
        <f t="shared" si="146"/>
        <v>0</v>
      </c>
      <c r="AD386" s="55">
        <f t="shared" si="146"/>
        <v>0</v>
      </c>
      <c r="AE386" s="55">
        <f t="shared" si="146"/>
        <v>0</v>
      </c>
      <c r="AF386" s="55">
        <f t="shared" si="146"/>
        <v>0</v>
      </c>
      <c r="AG386" s="55">
        <f t="shared" si="146"/>
        <v>0</v>
      </c>
      <c r="AH386" s="55">
        <f t="shared" si="146"/>
        <v>0</v>
      </c>
      <c r="AI386" s="55">
        <f t="shared" si="146"/>
        <v>0</v>
      </c>
      <c r="AJ386" s="55">
        <f t="shared" si="146"/>
        <v>0</v>
      </c>
      <c r="AK386" s="55">
        <f t="shared" si="146"/>
        <v>0</v>
      </c>
      <c r="AL386" s="55">
        <f t="shared" si="146"/>
        <v>0</v>
      </c>
      <c r="AM386" s="55">
        <f t="shared" si="146"/>
        <v>0</v>
      </c>
      <c r="AN386" s="55">
        <f t="shared" si="146"/>
        <v>0</v>
      </c>
      <c r="AO386" s="55">
        <f t="shared" si="146"/>
        <v>0</v>
      </c>
      <c r="AP386" s="55">
        <f t="shared" si="146"/>
        <v>0</v>
      </c>
      <c r="AQ386" s="55">
        <f t="shared" ref="AQ386" si="147">IF($C369="",0,IF(AND(AQ384=$C384,AQ385=$C385),5,IF(OR(AND(AQ384-AQ385&gt;0,$C384-$C385&gt;0),AND(AQ385-AQ384&gt;0,$C385-$C384&gt;0),AND(AQ384-AQ385=0,$C384-$C385=0)),2,0)+IF(OR(AQ384=$C384,AQ385=$C385),1,0)))</f>
        <v>0</v>
      </c>
      <c r="AR386" s="55">
        <f t="shared" si="146"/>
        <v>0</v>
      </c>
      <c r="AS386" s="55">
        <f t="shared" si="146"/>
        <v>0</v>
      </c>
      <c r="AT386" s="55">
        <f t="shared" si="146"/>
        <v>0</v>
      </c>
      <c r="AU386" s="55">
        <f t="shared" si="146"/>
        <v>0</v>
      </c>
      <c r="AV386" s="55">
        <f t="shared" si="146"/>
        <v>0</v>
      </c>
      <c r="AW386" s="55">
        <f t="shared" si="146"/>
        <v>0</v>
      </c>
      <c r="AX386" s="55">
        <f t="shared" si="146"/>
        <v>0</v>
      </c>
      <c r="AY386" s="55">
        <f t="shared" si="146"/>
        <v>0</v>
      </c>
      <c r="AZ386" s="55">
        <f t="shared" si="146"/>
        <v>0</v>
      </c>
      <c r="BA386" s="55">
        <f t="shared" si="146"/>
        <v>0</v>
      </c>
      <c r="BB386" s="55">
        <f t="shared" si="146"/>
        <v>0</v>
      </c>
      <c r="BC386" s="55">
        <f t="shared" si="146"/>
        <v>0</v>
      </c>
      <c r="BD386" s="55">
        <f t="shared" si="146"/>
        <v>0</v>
      </c>
      <c r="BE386" s="55">
        <f t="shared" si="146"/>
        <v>0</v>
      </c>
      <c r="BF386" s="55">
        <f t="shared" si="146"/>
        <v>0</v>
      </c>
      <c r="BG386" s="55">
        <f t="shared" si="146"/>
        <v>0</v>
      </c>
      <c r="BH386" s="55">
        <f t="shared" si="146"/>
        <v>0</v>
      </c>
      <c r="BI386" s="55">
        <f t="shared" si="146"/>
        <v>0</v>
      </c>
      <c r="BJ386" s="55">
        <f t="shared" si="146"/>
        <v>0</v>
      </c>
    </row>
    <row r="387" spans="1:62" ht="15.75" customHeight="1" x14ac:dyDescent="0.25">
      <c r="A387" s="62"/>
      <c r="B387" s="19">
        <v>0.875</v>
      </c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</row>
    <row r="388" spans="1:62" ht="15.75" customHeight="1" x14ac:dyDescent="0.25">
      <c r="A388" s="23"/>
    </row>
    <row r="389" spans="1:62" ht="21" customHeight="1" x14ac:dyDescent="0.25">
      <c r="A389" s="61">
        <v>71</v>
      </c>
      <c r="B389" s="14" t="s">
        <v>127</v>
      </c>
      <c r="C389" s="15"/>
      <c r="D389" s="16">
        <v>1</v>
      </c>
      <c r="E389" s="16">
        <v>2</v>
      </c>
      <c r="F389" s="16">
        <v>2</v>
      </c>
      <c r="G389" s="17">
        <v>2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0</v>
      </c>
      <c r="N389" s="16">
        <v>1</v>
      </c>
      <c r="O389" s="16">
        <v>1</v>
      </c>
      <c r="P389" s="16">
        <v>2</v>
      </c>
      <c r="Q389" s="16">
        <v>1</v>
      </c>
      <c r="R389" s="17">
        <v>1</v>
      </c>
      <c r="S389" s="16">
        <v>2</v>
      </c>
      <c r="T389" s="16">
        <v>1</v>
      </c>
      <c r="U389" s="16">
        <v>1</v>
      </c>
      <c r="V389" s="16">
        <v>1</v>
      </c>
      <c r="W389" s="16">
        <v>2</v>
      </c>
      <c r="X389" s="16">
        <v>1</v>
      </c>
      <c r="Y389" s="16">
        <v>1</v>
      </c>
      <c r="Z389" s="16">
        <v>1</v>
      </c>
      <c r="AA389" s="17">
        <v>1</v>
      </c>
      <c r="AB389" s="16">
        <v>1</v>
      </c>
      <c r="AC389" s="16">
        <v>1</v>
      </c>
      <c r="AD389" s="17">
        <v>1</v>
      </c>
      <c r="AE389" s="17">
        <v>1</v>
      </c>
      <c r="AF389" s="17">
        <v>2</v>
      </c>
      <c r="AG389" s="16">
        <v>1</v>
      </c>
      <c r="AH389" s="16">
        <v>2</v>
      </c>
      <c r="AI389" s="17">
        <v>1</v>
      </c>
      <c r="AJ389" s="16">
        <v>1</v>
      </c>
      <c r="AK389" s="16">
        <v>1</v>
      </c>
      <c r="AL389" s="16">
        <v>2</v>
      </c>
      <c r="AM389" s="16">
        <v>1</v>
      </c>
      <c r="AN389" s="16">
        <v>1</v>
      </c>
      <c r="AO389" s="16">
        <v>2</v>
      </c>
      <c r="AP389" s="17">
        <v>2</v>
      </c>
      <c r="AQ389" s="16">
        <v>1</v>
      </c>
      <c r="AR389" s="17">
        <v>1</v>
      </c>
      <c r="AS389" s="17">
        <v>1</v>
      </c>
      <c r="AT389" s="16">
        <v>0</v>
      </c>
      <c r="AU389" s="17">
        <v>1</v>
      </c>
      <c r="AV389" s="16">
        <v>1</v>
      </c>
      <c r="AW389" s="16">
        <v>2</v>
      </c>
      <c r="AX389" s="16">
        <v>2</v>
      </c>
      <c r="AY389" s="16">
        <v>1</v>
      </c>
      <c r="AZ389" s="16">
        <v>1</v>
      </c>
      <c r="BA389" s="16">
        <v>0</v>
      </c>
      <c r="BB389" s="16">
        <v>0</v>
      </c>
      <c r="BC389" s="17">
        <v>1</v>
      </c>
      <c r="BD389" s="16">
        <v>1</v>
      </c>
      <c r="BE389" s="17">
        <v>2</v>
      </c>
      <c r="BF389" s="17">
        <v>1</v>
      </c>
      <c r="BG389" s="16">
        <v>2</v>
      </c>
      <c r="BH389" s="17">
        <v>2</v>
      </c>
      <c r="BI389" s="16">
        <v>1</v>
      </c>
      <c r="BJ389" s="16">
        <v>1</v>
      </c>
    </row>
    <row r="390" spans="1:62" ht="22.5" customHeight="1" x14ac:dyDescent="0.25">
      <c r="A390" s="62"/>
      <c r="B390" s="14" t="s">
        <v>123</v>
      </c>
      <c r="C390" s="15"/>
      <c r="D390" s="16">
        <v>2</v>
      </c>
      <c r="E390" s="16">
        <v>1</v>
      </c>
      <c r="F390" s="16">
        <v>2</v>
      </c>
      <c r="G390" s="17">
        <v>1</v>
      </c>
      <c r="H390" s="16">
        <v>2</v>
      </c>
      <c r="I390" s="16">
        <v>2</v>
      </c>
      <c r="J390" s="16">
        <v>1</v>
      </c>
      <c r="K390" s="16">
        <v>1</v>
      </c>
      <c r="L390" s="16">
        <v>1</v>
      </c>
      <c r="M390" s="16">
        <v>1</v>
      </c>
      <c r="N390" s="16">
        <v>2</v>
      </c>
      <c r="O390" s="16">
        <v>1</v>
      </c>
      <c r="P390" s="16">
        <v>1</v>
      </c>
      <c r="Q390" s="16">
        <v>1</v>
      </c>
      <c r="R390" s="17">
        <v>1</v>
      </c>
      <c r="S390" s="16">
        <v>2</v>
      </c>
      <c r="T390" s="16">
        <v>1</v>
      </c>
      <c r="U390" s="16">
        <v>1</v>
      </c>
      <c r="V390" s="16">
        <v>1</v>
      </c>
      <c r="W390" s="16">
        <v>1</v>
      </c>
      <c r="X390" s="16">
        <v>2</v>
      </c>
      <c r="Y390" s="16">
        <v>1</v>
      </c>
      <c r="Z390" s="16">
        <v>1</v>
      </c>
      <c r="AA390" s="17">
        <v>3</v>
      </c>
      <c r="AB390" s="16">
        <v>1</v>
      </c>
      <c r="AC390" s="16">
        <v>1</v>
      </c>
      <c r="AD390" s="17">
        <v>1</v>
      </c>
      <c r="AE390" s="17">
        <v>1</v>
      </c>
      <c r="AF390" s="17">
        <v>1</v>
      </c>
      <c r="AG390" s="16">
        <v>1</v>
      </c>
      <c r="AH390" s="16">
        <v>1</v>
      </c>
      <c r="AI390" s="17">
        <v>1</v>
      </c>
      <c r="AJ390" s="16">
        <v>1</v>
      </c>
      <c r="AK390" s="16">
        <v>1</v>
      </c>
      <c r="AL390" s="16">
        <v>2</v>
      </c>
      <c r="AM390" s="16">
        <v>1</v>
      </c>
      <c r="AN390" s="16">
        <v>2</v>
      </c>
      <c r="AO390" s="16">
        <v>1</v>
      </c>
      <c r="AP390" s="17">
        <v>2</v>
      </c>
      <c r="AQ390" s="16">
        <v>1</v>
      </c>
      <c r="AR390" s="17">
        <v>2</v>
      </c>
      <c r="AS390" s="17">
        <v>2</v>
      </c>
      <c r="AT390" s="16">
        <v>2</v>
      </c>
      <c r="AU390" s="17">
        <v>1</v>
      </c>
      <c r="AV390" s="16">
        <v>1</v>
      </c>
      <c r="AW390" s="16">
        <v>2</v>
      </c>
      <c r="AX390" s="16">
        <v>2</v>
      </c>
      <c r="AY390" s="16">
        <v>1</v>
      </c>
      <c r="AZ390" s="16">
        <v>1</v>
      </c>
      <c r="BA390" s="16">
        <v>1</v>
      </c>
      <c r="BB390" s="16">
        <v>0</v>
      </c>
      <c r="BC390" s="17">
        <v>2</v>
      </c>
      <c r="BD390" s="16">
        <v>2</v>
      </c>
      <c r="BE390" s="17">
        <v>2</v>
      </c>
      <c r="BF390" s="17">
        <v>2</v>
      </c>
      <c r="BG390" s="16">
        <v>2</v>
      </c>
      <c r="BH390" s="17">
        <v>2</v>
      </c>
      <c r="BI390" s="16">
        <v>1</v>
      </c>
      <c r="BJ390" s="16">
        <v>2</v>
      </c>
    </row>
    <row r="391" spans="1:62" ht="15.75" customHeight="1" x14ac:dyDescent="0.25">
      <c r="A391" s="62"/>
      <c r="B391" s="18">
        <v>46200</v>
      </c>
      <c r="C391" s="60" t="s">
        <v>65</v>
      </c>
      <c r="D391" s="55">
        <f t="shared" ref="D391:BJ391" si="148">IF($C389="",0,IF(AND(D389=$C389,D390=$C390),5,IF(OR(AND(D389-D390&gt;0,$C389-$C390&gt;0),AND(D390-D389&gt;0,$C390-$C389&gt;0),AND(D389-D390=0,$C389-$C390=0)),2,0)+IF(OR(D389=$C389,D390=$C390),1,0)))</f>
        <v>0</v>
      </c>
      <c r="E391" s="55">
        <f t="shared" si="148"/>
        <v>0</v>
      </c>
      <c r="F391" s="55">
        <f t="shared" si="148"/>
        <v>0</v>
      </c>
      <c r="G391" s="55">
        <f t="shared" si="148"/>
        <v>0</v>
      </c>
      <c r="H391" s="55">
        <f t="shared" si="148"/>
        <v>0</v>
      </c>
      <c r="I391" s="55">
        <f t="shared" si="148"/>
        <v>0</v>
      </c>
      <c r="J391" s="55">
        <f t="shared" si="148"/>
        <v>0</v>
      </c>
      <c r="K391" s="55">
        <f t="shared" si="148"/>
        <v>0</v>
      </c>
      <c r="L391" s="55">
        <f t="shared" si="148"/>
        <v>0</v>
      </c>
      <c r="M391" s="55">
        <f t="shared" si="148"/>
        <v>0</v>
      </c>
      <c r="N391" s="55">
        <f t="shared" si="148"/>
        <v>0</v>
      </c>
      <c r="O391" s="55">
        <f t="shared" si="148"/>
        <v>0</v>
      </c>
      <c r="P391" s="55">
        <f t="shared" si="148"/>
        <v>0</v>
      </c>
      <c r="Q391" s="55">
        <f t="shared" si="148"/>
        <v>0</v>
      </c>
      <c r="R391" s="55">
        <f t="shared" si="148"/>
        <v>0</v>
      </c>
      <c r="S391" s="55">
        <f t="shared" si="148"/>
        <v>0</v>
      </c>
      <c r="T391" s="55">
        <f t="shared" si="148"/>
        <v>0</v>
      </c>
      <c r="U391" s="55">
        <f t="shared" si="148"/>
        <v>0</v>
      </c>
      <c r="V391" s="55">
        <f t="shared" si="148"/>
        <v>0</v>
      </c>
      <c r="W391" s="55">
        <f t="shared" si="148"/>
        <v>0</v>
      </c>
      <c r="X391" s="55">
        <f t="shared" si="148"/>
        <v>0</v>
      </c>
      <c r="Y391" s="55">
        <f t="shared" si="148"/>
        <v>0</v>
      </c>
      <c r="Z391" s="55">
        <f t="shared" si="148"/>
        <v>0</v>
      </c>
      <c r="AA391" s="55">
        <f t="shared" si="148"/>
        <v>0</v>
      </c>
      <c r="AB391" s="55">
        <f t="shared" si="148"/>
        <v>0</v>
      </c>
      <c r="AC391" s="55">
        <f t="shared" si="148"/>
        <v>0</v>
      </c>
      <c r="AD391" s="55">
        <f t="shared" si="148"/>
        <v>0</v>
      </c>
      <c r="AE391" s="55">
        <f t="shared" si="148"/>
        <v>0</v>
      </c>
      <c r="AF391" s="55">
        <f t="shared" si="148"/>
        <v>0</v>
      </c>
      <c r="AG391" s="55">
        <f t="shared" si="148"/>
        <v>0</v>
      </c>
      <c r="AH391" s="55">
        <f t="shared" si="148"/>
        <v>0</v>
      </c>
      <c r="AI391" s="55">
        <f t="shared" si="148"/>
        <v>0</v>
      </c>
      <c r="AJ391" s="55">
        <f t="shared" si="148"/>
        <v>0</v>
      </c>
      <c r="AK391" s="55">
        <f t="shared" si="148"/>
        <v>0</v>
      </c>
      <c r="AL391" s="55">
        <f t="shared" si="148"/>
        <v>0</v>
      </c>
      <c r="AM391" s="55">
        <f t="shared" si="148"/>
        <v>0</v>
      </c>
      <c r="AN391" s="55">
        <f t="shared" si="148"/>
        <v>0</v>
      </c>
      <c r="AO391" s="55">
        <f t="shared" si="148"/>
        <v>0</v>
      </c>
      <c r="AP391" s="55">
        <f t="shared" si="148"/>
        <v>0</v>
      </c>
      <c r="AQ391" s="55">
        <f t="shared" ref="AQ391" si="149">IF($C389="",0,IF(AND(AQ389=$C389,AQ390=$C390),5,IF(OR(AND(AQ389-AQ390&gt;0,$C389-$C390&gt;0),AND(AQ390-AQ389&gt;0,$C390-$C389&gt;0),AND(AQ389-AQ390=0,$C389-$C390=0)),2,0)+IF(OR(AQ389=$C389,AQ390=$C390),1,0)))</f>
        <v>0</v>
      </c>
      <c r="AR391" s="55">
        <f t="shared" si="148"/>
        <v>0</v>
      </c>
      <c r="AS391" s="55">
        <f t="shared" si="148"/>
        <v>0</v>
      </c>
      <c r="AT391" s="55">
        <f t="shared" si="148"/>
        <v>0</v>
      </c>
      <c r="AU391" s="55">
        <f t="shared" si="148"/>
        <v>0</v>
      </c>
      <c r="AV391" s="55">
        <f t="shared" si="148"/>
        <v>0</v>
      </c>
      <c r="AW391" s="55">
        <f t="shared" si="148"/>
        <v>0</v>
      </c>
      <c r="AX391" s="55">
        <f t="shared" si="148"/>
        <v>0</v>
      </c>
      <c r="AY391" s="55">
        <f t="shared" si="148"/>
        <v>0</v>
      </c>
      <c r="AZ391" s="55">
        <f t="shared" si="148"/>
        <v>0</v>
      </c>
      <c r="BA391" s="55">
        <f t="shared" si="148"/>
        <v>0</v>
      </c>
      <c r="BB391" s="55">
        <f t="shared" si="148"/>
        <v>0</v>
      </c>
      <c r="BC391" s="55">
        <f t="shared" si="148"/>
        <v>0</v>
      </c>
      <c r="BD391" s="55">
        <f t="shared" si="148"/>
        <v>0</v>
      </c>
      <c r="BE391" s="55">
        <f t="shared" si="148"/>
        <v>0</v>
      </c>
      <c r="BF391" s="55">
        <f t="shared" si="148"/>
        <v>0</v>
      </c>
      <c r="BG391" s="55">
        <f t="shared" si="148"/>
        <v>0</v>
      </c>
      <c r="BH391" s="55">
        <f t="shared" si="148"/>
        <v>0</v>
      </c>
      <c r="BI391" s="55">
        <f t="shared" si="148"/>
        <v>0</v>
      </c>
      <c r="BJ391" s="55">
        <f t="shared" si="148"/>
        <v>0</v>
      </c>
    </row>
    <row r="392" spans="1:62" ht="15.75" customHeight="1" x14ac:dyDescent="0.25">
      <c r="A392" s="62"/>
      <c r="B392" s="19">
        <v>0.77083333333333337</v>
      </c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</row>
    <row r="393" spans="1:62" ht="15.75" customHeight="1" x14ac:dyDescent="0.25">
      <c r="A393" s="23"/>
    </row>
    <row r="394" spans="1:62" ht="21" customHeight="1" x14ac:dyDescent="0.25">
      <c r="A394" s="61">
        <v>72</v>
      </c>
      <c r="B394" s="14" t="s">
        <v>124</v>
      </c>
      <c r="C394" s="15"/>
      <c r="D394" s="16">
        <v>1</v>
      </c>
      <c r="E394" s="16">
        <v>1</v>
      </c>
      <c r="F394" s="16">
        <v>2</v>
      </c>
      <c r="G394" s="17">
        <v>0</v>
      </c>
      <c r="H394" s="16">
        <v>0</v>
      </c>
      <c r="I394" s="16">
        <v>0</v>
      </c>
      <c r="J394" s="16">
        <v>1</v>
      </c>
      <c r="K394" s="16">
        <v>3</v>
      </c>
      <c r="L394" s="16">
        <v>1</v>
      </c>
      <c r="M394" s="16">
        <v>1</v>
      </c>
      <c r="N394" s="16">
        <v>1</v>
      </c>
      <c r="O394" s="16">
        <v>1</v>
      </c>
      <c r="P394" s="16">
        <v>0</v>
      </c>
      <c r="Q394" s="16">
        <v>1</v>
      </c>
      <c r="R394" s="17">
        <v>1</v>
      </c>
      <c r="S394" s="16">
        <v>1</v>
      </c>
      <c r="T394" s="16">
        <v>1</v>
      </c>
      <c r="U394" s="16">
        <v>1</v>
      </c>
      <c r="V394" s="16">
        <v>1</v>
      </c>
      <c r="W394" s="16">
        <v>0</v>
      </c>
      <c r="X394" s="16">
        <v>1</v>
      </c>
      <c r="Y394" s="16">
        <v>1</v>
      </c>
      <c r="Z394" s="16">
        <v>0</v>
      </c>
      <c r="AA394" s="17">
        <v>1</v>
      </c>
      <c r="AB394" s="16">
        <v>1</v>
      </c>
      <c r="AC394" s="16">
        <v>1</v>
      </c>
      <c r="AD394" s="17">
        <v>2</v>
      </c>
      <c r="AE394" s="17">
        <v>0</v>
      </c>
      <c r="AF394" s="17">
        <v>1</v>
      </c>
      <c r="AG394" s="16">
        <v>1</v>
      </c>
      <c r="AH394" s="16">
        <v>1</v>
      </c>
      <c r="AI394" s="17">
        <v>2</v>
      </c>
      <c r="AJ394" s="16">
        <v>3</v>
      </c>
      <c r="AK394" s="16">
        <v>1</v>
      </c>
      <c r="AL394" s="16">
        <v>1</v>
      </c>
      <c r="AM394" s="16">
        <v>0</v>
      </c>
      <c r="AN394" s="16">
        <v>1</v>
      </c>
      <c r="AO394" s="16">
        <v>1</v>
      </c>
      <c r="AP394" s="17">
        <v>1</v>
      </c>
      <c r="AQ394" s="16">
        <v>1</v>
      </c>
      <c r="AR394" s="17">
        <v>1</v>
      </c>
      <c r="AS394" s="17">
        <v>1</v>
      </c>
      <c r="AT394" s="16">
        <v>1</v>
      </c>
      <c r="AU394" s="17">
        <v>1</v>
      </c>
      <c r="AV394" s="16">
        <v>1</v>
      </c>
      <c r="AW394" s="16">
        <v>0</v>
      </c>
      <c r="AX394" s="16">
        <v>1</v>
      </c>
      <c r="AY394" s="16">
        <v>1</v>
      </c>
      <c r="AZ394" s="16">
        <v>1</v>
      </c>
      <c r="BA394" s="16">
        <v>0</v>
      </c>
      <c r="BB394" s="16">
        <v>1</v>
      </c>
      <c r="BC394" s="17">
        <v>1</v>
      </c>
      <c r="BD394" s="16">
        <v>1</v>
      </c>
      <c r="BE394" s="17">
        <v>0</v>
      </c>
      <c r="BF394" s="17">
        <v>1</v>
      </c>
      <c r="BG394" s="16">
        <v>1</v>
      </c>
      <c r="BH394" s="17">
        <v>2</v>
      </c>
      <c r="BI394" s="16">
        <v>1</v>
      </c>
      <c r="BJ394" s="16">
        <v>2</v>
      </c>
    </row>
    <row r="395" spans="1:62" ht="23.25" customHeight="1" x14ac:dyDescent="0.25">
      <c r="A395" s="62"/>
      <c r="B395" s="14" t="s">
        <v>126</v>
      </c>
      <c r="C395" s="15"/>
      <c r="D395" s="16">
        <v>2</v>
      </c>
      <c r="E395" s="16">
        <v>0</v>
      </c>
      <c r="F395" s="16">
        <v>1</v>
      </c>
      <c r="G395" s="17">
        <v>0</v>
      </c>
      <c r="H395" s="16">
        <v>1</v>
      </c>
      <c r="I395" s="16">
        <v>0</v>
      </c>
      <c r="J395" s="16">
        <v>1</v>
      </c>
      <c r="K395" s="16">
        <v>2</v>
      </c>
      <c r="L395" s="16">
        <v>0</v>
      </c>
      <c r="M395" s="16">
        <v>1</v>
      </c>
      <c r="N395" s="16">
        <v>1</v>
      </c>
      <c r="O395" s="16">
        <v>1</v>
      </c>
      <c r="P395" s="16">
        <v>2</v>
      </c>
      <c r="Q395" s="16">
        <v>1</v>
      </c>
      <c r="R395" s="17">
        <v>1</v>
      </c>
      <c r="S395" s="16">
        <v>1</v>
      </c>
      <c r="T395" s="16">
        <v>1</v>
      </c>
      <c r="U395" s="16">
        <v>1</v>
      </c>
      <c r="V395" s="16">
        <v>1</v>
      </c>
      <c r="W395" s="16">
        <v>0</v>
      </c>
      <c r="X395" s="16">
        <v>1</v>
      </c>
      <c r="Y395" s="16">
        <v>1</v>
      </c>
      <c r="Z395" s="16">
        <v>2</v>
      </c>
      <c r="AA395" s="17">
        <v>1</v>
      </c>
      <c r="AB395" s="16">
        <v>0</v>
      </c>
      <c r="AC395" s="16">
        <v>1</v>
      </c>
      <c r="AD395" s="17">
        <v>2</v>
      </c>
      <c r="AE395" s="17">
        <v>1</v>
      </c>
      <c r="AF395" s="17">
        <v>1</v>
      </c>
      <c r="AG395" s="16">
        <v>1</v>
      </c>
      <c r="AH395" s="16">
        <v>1</v>
      </c>
      <c r="AI395" s="17">
        <v>2</v>
      </c>
      <c r="AJ395" s="16">
        <v>1</v>
      </c>
      <c r="AK395" s="16">
        <v>0</v>
      </c>
      <c r="AL395" s="16">
        <v>0</v>
      </c>
      <c r="AM395" s="16">
        <v>1</v>
      </c>
      <c r="AN395" s="16">
        <v>1</v>
      </c>
      <c r="AO395" s="16">
        <v>1</v>
      </c>
      <c r="AP395" s="17">
        <v>2</v>
      </c>
      <c r="AQ395" s="16">
        <v>1</v>
      </c>
      <c r="AR395" s="17">
        <v>1</v>
      </c>
      <c r="AS395" s="17">
        <v>0</v>
      </c>
      <c r="AT395" s="16">
        <v>1</v>
      </c>
      <c r="AU395" s="17">
        <v>1</v>
      </c>
      <c r="AV395" s="16">
        <v>0</v>
      </c>
      <c r="AW395" s="16">
        <v>0</v>
      </c>
      <c r="AX395" s="16">
        <v>1</v>
      </c>
      <c r="AY395" s="16">
        <v>1</v>
      </c>
      <c r="AZ395" s="16">
        <v>0</v>
      </c>
      <c r="BA395" s="16">
        <v>0</v>
      </c>
      <c r="BB395" s="16">
        <v>1</v>
      </c>
      <c r="BC395" s="17">
        <v>1</v>
      </c>
      <c r="BD395" s="16">
        <v>0</v>
      </c>
      <c r="BE395" s="17">
        <v>0</v>
      </c>
      <c r="BF395" s="17">
        <v>2</v>
      </c>
      <c r="BG395" s="16">
        <v>1</v>
      </c>
      <c r="BH395" s="17">
        <v>1</v>
      </c>
      <c r="BI395" s="16">
        <v>1</v>
      </c>
      <c r="BJ395" s="16">
        <v>0</v>
      </c>
    </row>
    <row r="396" spans="1:62" ht="15.75" customHeight="1" x14ac:dyDescent="0.25">
      <c r="A396" s="62"/>
      <c r="B396" s="18">
        <v>46200</v>
      </c>
      <c r="C396" s="60" t="s">
        <v>65</v>
      </c>
      <c r="D396" s="55">
        <f t="shared" ref="D396:BJ396" si="150">IF($C394="",0,IF(AND(D394=$C394,D395=$C395),5,IF(OR(AND(D394-D395&gt;0,$C394-$C395&gt;0),AND(D395-D394&gt;0,$C395-$C394&gt;0),AND(D394-D395=0,$C394-$C395=0)),2,0)+IF(OR(D394=$C394,D395=$C395),1,0)))</f>
        <v>0</v>
      </c>
      <c r="E396" s="55">
        <f t="shared" si="150"/>
        <v>0</v>
      </c>
      <c r="F396" s="55">
        <f t="shared" si="150"/>
        <v>0</v>
      </c>
      <c r="G396" s="55">
        <f t="shared" si="150"/>
        <v>0</v>
      </c>
      <c r="H396" s="55">
        <f t="shared" si="150"/>
        <v>0</v>
      </c>
      <c r="I396" s="55">
        <f t="shared" si="150"/>
        <v>0</v>
      </c>
      <c r="J396" s="55">
        <f t="shared" si="150"/>
        <v>0</v>
      </c>
      <c r="K396" s="55">
        <f t="shared" si="150"/>
        <v>0</v>
      </c>
      <c r="L396" s="55">
        <f t="shared" si="150"/>
        <v>0</v>
      </c>
      <c r="M396" s="55">
        <f t="shared" si="150"/>
        <v>0</v>
      </c>
      <c r="N396" s="55">
        <f t="shared" si="150"/>
        <v>0</v>
      </c>
      <c r="O396" s="55">
        <f t="shared" si="150"/>
        <v>0</v>
      </c>
      <c r="P396" s="55">
        <f t="shared" si="150"/>
        <v>0</v>
      </c>
      <c r="Q396" s="55">
        <f t="shared" si="150"/>
        <v>0</v>
      </c>
      <c r="R396" s="55">
        <f t="shared" si="150"/>
        <v>0</v>
      </c>
      <c r="S396" s="55">
        <f t="shared" si="150"/>
        <v>0</v>
      </c>
      <c r="T396" s="55">
        <f t="shared" si="150"/>
        <v>0</v>
      </c>
      <c r="U396" s="55">
        <f t="shared" si="150"/>
        <v>0</v>
      </c>
      <c r="V396" s="55">
        <f t="shared" si="150"/>
        <v>0</v>
      </c>
      <c r="W396" s="55">
        <f t="shared" si="150"/>
        <v>0</v>
      </c>
      <c r="X396" s="55">
        <f t="shared" si="150"/>
        <v>0</v>
      </c>
      <c r="Y396" s="55">
        <f t="shared" si="150"/>
        <v>0</v>
      </c>
      <c r="Z396" s="55">
        <f t="shared" si="150"/>
        <v>0</v>
      </c>
      <c r="AA396" s="55">
        <f t="shared" si="150"/>
        <v>0</v>
      </c>
      <c r="AB396" s="55">
        <f t="shared" si="150"/>
        <v>0</v>
      </c>
      <c r="AC396" s="55">
        <f t="shared" si="150"/>
        <v>0</v>
      </c>
      <c r="AD396" s="55">
        <f t="shared" si="150"/>
        <v>0</v>
      </c>
      <c r="AE396" s="55">
        <f t="shared" si="150"/>
        <v>0</v>
      </c>
      <c r="AF396" s="55">
        <f t="shared" si="150"/>
        <v>0</v>
      </c>
      <c r="AG396" s="55">
        <f t="shared" si="150"/>
        <v>0</v>
      </c>
      <c r="AH396" s="55">
        <f t="shared" si="150"/>
        <v>0</v>
      </c>
      <c r="AI396" s="55">
        <f t="shared" si="150"/>
        <v>0</v>
      </c>
      <c r="AJ396" s="55">
        <f t="shared" si="150"/>
        <v>0</v>
      </c>
      <c r="AK396" s="55">
        <f t="shared" si="150"/>
        <v>0</v>
      </c>
      <c r="AL396" s="55">
        <f t="shared" si="150"/>
        <v>0</v>
      </c>
      <c r="AM396" s="55">
        <f t="shared" si="150"/>
        <v>0</v>
      </c>
      <c r="AN396" s="55">
        <f t="shared" si="150"/>
        <v>0</v>
      </c>
      <c r="AO396" s="55">
        <f t="shared" si="150"/>
        <v>0</v>
      </c>
      <c r="AP396" s="55">
        <f t="shared" si="150"/>
        <v>0</v>
      </c>
      <c r="AQ396" s="55">
        <f t="shared" ref="AQ396" si="151">IF($C394="",0,IF(AND(AQ394=$C394,AQ395=$C395),5,IF(OR(AND(AQ394-AQ395&gt;0,$C394-$C395&gt;0),AND(AQ395-AQ394&gt;0,$C395-$C394&gt;0),AND(AQ394-AQ395=0,$C394-$C395=0)),2,0)+IF(OR(AQ394=$C394,AQ395=$C395),1,0)))</f>
        <v>0</v>
      </c>
      <c r="AR396" s="55">
        <f t="shared" si="150"/>
        <v>0</v>
      </c>
      <c r="AS396" s="55">
        <f t="shared" si="150"/>
        <v>0</v>
      </c>
      <c r="AT396" s="55">
        <f t="shared" si="150"/>
        <v>0</v>
      </c>
      <c r="AU396" s="55">
        <f t="shared" si="150"/>
        <v>0</v>
      </c>
      <c r="AV396" s="55">
        <f t="shared" si="150"/>
        <v>0</v>
      </c>
      <c r="AW396" s="55">
        <f t="shared" si="150"/>
        <v>0</v>
      </c>
      <c r="AX396" s="55">
        <f t="shared" si="150"/>
        <v>0</v>
      </c>
      <c r="AY396" s="55">
        <f t="shared" si="150"/>
        <v>0</v>
      </c>
      <c r="AZ396" s="55">
        <f t="shared" si="150"/>
        <v>0</v>
      </c>
      <c r="BA396" s="55">
        <f t="shared" si="150"/>
        <v>0</v>
      </c>
      <c r="BB396" s="55">
        <f t="shared" si="150"/>
        <v>0</v>
      </c>
      <c r="BC396" s="55">
        <f t="shared" si="150"/>
        <v>0</v>
      </c>
      <c r="BD396" s="55">
        <f t="shared" si="150"/>
        <v>0</v>
      </c>
      <c r="BE396" s="55">
        <f t="shared" si="150"/>
        <v>0</v>
      </c>
      <c r="BF396" s="55">
        <f t="shared" si="150"/>
        <v>0</v>
      </c>
      <c r="BG396" s="55">
        <f t="shared" si="150"/>
        <v>0</v>
      </c>
      <c r="BH396" s="55">
        <f t="shared" si="150"/>
        <v>0</v>
      </c>
      <c r="BI396" s="55">
        <f t="shared" si="150"/>
        <v>0</v>
      </c>
      <c r="BJ396" s="55">
        <f t="shared" si="150"/>
        <v>0</v>
      </c>
    </row>
    <row r="397" spans="1:62" ht="15.75" customHeight="1" x14ac:dyDescent="0.25">
      <c r="A397" s="62"/>
      <c r="B397" s="19">
        <v>0.77083333333333337</v>
      </c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</row>
    <row r="398" spans="1:62" ht="17.25" customHeight="1" x14ac:dyDescent="0.25"/>
    <row r="399" spans="1:62" ht="18" customHeight="1" x14ac:dyDescent="0.25"/>
    <row r="400" spans="1:62" ht="15.75" customHeight="1" x14ac:dyDescent="0.25"/>
    <row r="401" spans="1:62" ht="48" customHeight="1" x14ac:dyDescent="0.25">
      <c r="A401" s="57" t="s">
        <v>128</v>
      </c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9"/>
    </row>
    <row r="402" spans="1:62" ht="15.75" customHeight="1" x14ac:dyDescent="0.25">
      <c r="A402" s="2"/>
      <c r="B402" s="2"/>
      <c r="C402" s="2"/>
      <c r="D402" s="2"/>
      <c r="E402" s="2"/>
      <c r="F402" s="2"/>
      <c r="G402" s="2"/>
      <c r="H402" s="3"/>
      <c r="I402" s="3"/>
      <c r="J402" s="3"/>
    </row>
    <row r="403" spans="1:62" ht="15.75" customHeight="1" x14ac:dyDescent="0.25">
      <c r="A403" s="4"/>
      <c r="B403" s="5"/>
      <c r="C403" s="6"/>
      <c r="D403" s="7">
        <v>1</v>
      </c>
      <c r="E403" s="7">
        <v>2</v>
      </c>
      <c r="F403" s="7">
        <v>3</v>
      </c>
      <c r="G403" s="7">
        <v>4</v>
      </c>
      <c r="H403" s="7">
        <v>5</v>
      </c>
      <c r="I403" s="7">
        <v>6</v>
      </c>
      <c r="J403" s="7">
        <v>7</v>
      </c>
      <c r="K403" s="7">
        <v>8</v>
      </c>
      <c r="L403" s="7">
        <v>9</v>
      </c>
      <c r="M403" s="7">
        <v>10</v>
      </c>
      <c r="N403" s="7">
        <v>11</v>
      </c>
      <c r="O403" s="7">
        <v>13</v>
      </c>
      <c r="P403" s="7">
        <v>14</v>
      </c>
      <c r="Q403" s="7">
        <v>15</v>
      </c>
      <c r="R403" s="7">
        <v>16</v>
      </c>
      <c r="S403" s="7">
        <v>17</v>
      </c>
      <c r="T403" s="7">
        <v>18</v>
      </c>
      <c r="U403" s="7">
        <v>19</v>
      </c>
      <c r="V403" s="7">
        <v>20</v>
      </c>
      <c r="W403" s="7">
        <v>21</v>
      </c>
      <c r="X403" s="7">
        <v>22</v>
      </c>
      <c r="Y403" s="7">
        <v>24</v>
      </c>
      <c r="Z403" s="7">
        <v>25</v>
      </c>
      <c r="AA403" s="7">
        <v>26</v>
      </c>
      <c r="AB403" s="7">
        <v>27</v>
      </c>
      <c r="AC403" s="7">
        <v>29</v>
      </c>
      <c r="AD403" s="7">
        <v>30</v>
      </c>
      <c r="AE403" s="7">
        <v>32</v>
      </c>
      <c r="AF403" s="7">
        <v>33</v>
      </c>
      <c r="AG403" s="7">
        <v>34</v>
      </c>
      <c r="AH403" s="7">
        <v>35</v>
      </c>
      <c r="AI403" s="7">
        <v>36</v>
      </c>
      <c r="AJ403" s="7">
        <v>37</v>
      </c>
      <c r="AK403" s="7">
        <v>38</v>
      </c>
      <c r="AL403" s="7">
        <v>39</v>
      </c>
      <c r="AM403" s="7">
        <v>40</v>
      </c>
      <c r="AN403" s="7">
        <v>41</v>
      </c>
      <c r="AO403" s="7">
        <v>42</v>
      </c>
      <c r="AP403" s="7">
        <v>44</v>
      </c>
      <c r="AQ403" s="7">
        <v>67</v>
      </c>
      <c r="AR403" s="7">
        <v>48</v>
      </c>
      <c r="AS403" s="7">
        <v>49</v>
      </c>
      <c r="AT403" s="7">
        <v>51</v>
      </c>
      <c r="AU403" s="7">
        <v>52</v>
      </c>
      <c r="AV403" s="7">
        <v>53</v>
      </c>
      <c r="AW403" s="7">
        <v>54</v>
      </c>
      <c r="AX403" s="7">
        <v>55</v>
      </c>
      <c r="AY403" s="7">
        <v>56</v>
      </c>
      <c r="AZ403" s="7">
        <v>57</v>
      </c>
      <c r="BA403" s="7">
        <v>58</v>
      </c>
      <c r="BB403" s="7">
        <v>59</v>
      </c>
      <c r="BC403" s="7">
        <v>60</v>
      </c>
      <c r="BD403" s="7">
        <v>61</v>
      </c>
      <c r="BE403" s="7">
        <v>62</v>
      </c>
      <c r="BF403" s="7">
        <v>63</v>
      </c>
      <c r="BG403" s="7">
        <v>64</v>
      </c>
      <c r="BH403" s="7">
        <v>65</v>
      </c>
      <c r="BI403" s="7">
        <v>66</v>
      </c>
      <c r="BJ403" s="7">
        <v>67</v>
      </c>
    </row>
    <row r="404" spans="1:62" ht="194.25" customHeight="1" x14ac:dyDescent="0.25">
      <c r="A404" s="8"/>
      <c r="B404" s="9" t="s">
        <v>3</v>
      </c>
      <c r="C404" s="10" t="s">
        <v>4</v>
      </c>
      <c r="D404" s="11" t="str">
        <f t="shared" ref="D404:BJ404" si="152">D8</f>
        <v>Julian Uribe</v>
      </c>
      <c r="E404" s="11" t="str">
        <f t="shared" si="152"/>
        <v>Yulian Sanchez</v>
      </c>
      <c r="F404" s="11" t="str">
        <f t="shared" si="152"/>
        <v>Francisco Moreno</v>
      </c>
      <c r="G404" s="11" t="str">
        <f t="shared" si="152"/>
        <v>Mauricio Guerrero</v>
      </c>
      <c r="H404" s="11" t="str">
        <f t="shared" si="152"/>
        <v>Gustavo Guerrero</v>
      </c>
      <c r="I404" s="11" t="str">
        <f t="shared" si="152"/>
        <v>Gerardo Martinez</v>
      </c>
      <c r="J404" s="11" t="str">
        <f t="shared" si="152"/>
        <v>Nora Perez</v>
      </c>
      <c r="K404" s="11" t="str">
        <f t="shared" si="152"/>
        <v>Laura Rodriguez</v>
      </c>
      <c r="L404" s="11" t="str">
        <f t="shared" si="152"/>
        <v>Jhoana Moreno</v>
      </c>
      <c r="M404" s="11" t="str">
        <f t="shared" si="152"/>
        <v xml:space="preserve">Yoselin Salinas </v>
      </c>
      <c r="N404" s="11" t="str">
        <f t="shared" si="152"/>
        <v>Luis Diaz</v>
      </c>
      <c r="O404" s="11" t="str">
        <f t="shared" si="152"/>
        <v>Diela del Carmen</v>
      </c>
      <c r="P404" s="11" t="str">
        <f t="shared" si="152"/>
        <v>Paola Agredo</v>
      </c>
      <c r="Q404" s="11" t="str">
        <f t="shared" si="152"/>
        <v>Oscar Suarez</v>
      </c>
      <c r="R404" s="11" t="str">
        <f t="shared" si="152"/>
        <v>Paulo Figueroa</v>
      </c>
      <c r="S404" s="11" t="str">
        <f t="shared" si="152"/>
        <v xml:space="preserve">Jean Piere </v>
      </c>
      <c r="T404" s="11" t="str">
        <f t="shared" si="152"/>
        <v>David Diaz</v>
      </c>
      <c r="U404" s="11" t="str">
        <f t="shared" si="152"/>
        <v xml:space="preserve">Christian Giraldo </v>
      </c>
      <c r="V404" s="11" t="str">
        <f t="shared" si="152"/>
        <v>Viviana Hurtado</v>
      </c>
      <c r="W404" s="11" t="str">
        <f t="shared" si="152"/>
        <v>James Chavez Ocampo</v>
      </c>
      <c r="X404" s="11" t="str">
        <f t="shared" si="152"/>
        <v>Luis Felipe Sanchez</v>
      </c>
      <c r="Y404" s="11" t="str">
        <f t="shared" si="152"/>
        <v>Laura Ossa</v>
      </c>
      <c r="Z404" s="11" t="str">
        <f t="shared" si="152"/>
        <v>Elizabeth Montealegre</v>
      </c>
      <c r="AA404" s="11" t="str">
        <f t="shared" si="152"/>
        <v>Liliana Montealegre</v>
      </c>
      <c r="AB404" s="11" t="str">
        <f t="shared" si="152"/>
        <v>Javier Andres Gomez</v>
      </c>
      <c r="AC404" s="11" t="str">
        <f t="shared" si="152"/>
        <v>Diana Carolina Marin</v>
      </c>
      <c r="AD404" s="11" t="str">
        <f t="shared" si="152"/>
        <v>Diego Fernando Saavedra</v>
      </c>
      <c r="AE404" s="11" t="str">
        <f t="shared" si="152"/>
        <v>Oscar Mayor</v>
      </c>
      <c r="AF404" s="11" t="str">
        <f t="shared" si="152"/>
        <v>Ingrid Toro</v>
      </c>
      <c r="AG404" s="11" t="str">
        <f t="shared" si="152"/>
        <v>Ana Marcela Castro</v>
      </c>
      <c r="AH404" s="11" t="str">
        <f t="shared" si="152"/>
        <v>Ricardo Gutierrez</v>
      </c>
      <c r="AI404" s="11" t="str">
        <f t="shared" si="152"/>
        <v>Natalia Navarro</v>
      </c>
      <c r="AJ404" s="11" t="str">
        <f t="shared" si="152"/>
        <v>Diana Perez</v>
      </c>
      <c r="AK404" s="11" t="str">
        <f t="shared" si="152"/>
        <v>Sergio Diaz</v>
      </c>
      <c r="AL404" s="11" t="str">
        <f t="shared" si="152"/>
        <v>William Oviedo</v>
      </c>
      <c r="AM404" s="11" t="str">
        <f t="shared" si="152"/>
        <v>Armando Orjuela</v>
      </c>
      <c r="AN404" s="11" t="str">
        <f t="shared" si="152"/>
        <v xml:space="preserve">Helen Muñoz </v>
      </c>
      <c r="AO404" s="11" t="str">
        <f t="shared" si="152"/>
        <v>Julieth Cruz - Luiz Diaz</v>
      </c>
      <c r="AP404" s="11" t="str">
        <f t="shared" si="152"/>
        <v>Jose Luis Montoya</v>
      </c>
      <c r="AQ404" s="11" t="str">
        <f t="shared" ref="AQ404" si="153">AQ8</f>
        <v>Julian Useche</v>
      </c>
      <c r="AR404" s="11" t="str">
        <f t="shared" si="152"/>
        <v>Sebastian Posada</v>
      </c>
      <c r="AS404" s="11" t="str">
        <f t="shared" si="152"/>
        <v>Juan Cifuentes</v>
      </c>
      <c r="AT404" s="11" t="str">
        <f t="shared" si="152"/>
        <v>Rodrigo Dominguez</v>
      </c>
      <c r="AU404" s="11" t="str">
        <f t="shared" si="152"/>
        <v xml:space="preserve">Carlos Calero </v>
      </c>
      <c r="AV404" s="11" t="str">
        <f t="shared" si="152"/>
        <v>Lewhis Spirth Montaño</v>
      </c>
      <c r="AW404" s="11" t="str">
        <f t="shared" si="152"/>
        <v>Sebastian Castro Luna</v>
      </c>
      <c r="AX404" s="11" t="str">
        <f t="shared" si="152"/>
        <v>Francia Orozco</v>
      </c>
      <c r="AY404" s="11" t="str">
        <f t="shared" si="152"/>
        <v>Fredy Rojas</v>
      </c>
      <c r="AZ404" s="11" t="str">
        <f t="shared" si="152"/>
        <v>John Quiñonez</v>
      </c>
      <c r="BA404" s="11" t="str">
        <f t="shared" si="152"/>
        <v>Yuli Guzman</v>
      </c>
      <c r="BB404" s="11" t="str">
        <f t="shared" si="152"/>
        <v>Luis Alfredo Plaza</v>
      </c>
      <c r="BC404" s="11" t="str">
        <f t="shared" si="152"/>
        <v>Naty Bermudez</v>
      </c>
      <c r="BD404" s="11" t="str">
        <f t="shared" si="152"/>
        <v>Edgar Ivan Giraldo Duran</v>
      </c>
      <c r="BE404" s="11" t="str">
        <f t="shared" si="152"/>
        <v>Caterine Filigrana</v>
      </c>
      <c r="BF404" s="11" t="str">
        <f t="shared" si="152"/>
        <v>Adriana Belalcazar</v>
      </c>
      <c r="BG404" s="11" t="str">
        <f t="shared" si="152"/>
        <v>Angelisa Hurtado</v>
      </c>
      <c r="BH404" s="11" t="str">
        <f t="shared" si="152"/>
        <v>Isabela Muñoz</v>
      </c>
      <c r="BI404" s="11" t="str">
        <f t="shared" si="152"/>
        <v>Francisco Moreno Alvarez</v>
      </c>
      <c r="BJ404" s="11" t="str">
        <f t="shared" si="152"/>
        <v>Angelica Maria Panesso</v>
      </c>
    </row>
    <row r="405" spans="1:62" ht="21" customHeight="1" x14ac:dyDescent="0.25">
      <c r="A405" s="63">
        <v>22</v>
      </c>
      <c r="B405" s="14" t="s">
        <v>129</v>
      </c>
      <c r="C405" s="15"/>
      <c r="D405" s="16">
        <v>2</v>
      </c>
      <c r="E405" s="16">
        <v>3</v>
      </c>
      <c r="F405" s="16">
        <v>2</v>
      </c>
      <c r="G405" s="17">
        <v>2</v>
      </c>
      <c r="H405" s="16">
        <v>2</v>
      </c>
      <c r="I405" s="16">
        <v>1</v>
      </c>
      <c r="J405" s="16">
        <v>2</v>
      </c>
      <c r="K405" s="16">
        <v>2</v>
      </c>
      <c r="L405" s="16">
        <v>1</v>
      </c>
      <c r="M405" s="16">
        <v>1</v>
      </c>
      <c r="N405" s="16">
        <v>2</v>
      </c>
      <c r="O405" s="16">
        <v>2</v>
      </c>
      <c r="P405" s="16">
        <v>2</v>
      </c>
      <c r="Q405" s="16">
        <v>1</v>
      </c>
      <c r="R405" s="17">
        <v>1</v>
      </c>
      <c r="S405" s="16">
        <v>2</v>
      </c>
      <c r="T405" s="16">
        <v>2</v>
      </c>
      <c r="U405" s="16">
        <v>1</v>
      </c>
      <c r="V405" s="16">
        <v>2</v>
      </c>
      <c r="W405" s="16">
        <v>2</v>
      </c>
      <c r="X405" s="16">
        <v>2</v>
      </c>
      <c r="Y405" s="16">
        <v>2</v>
      </c>
      <c r="Z405" s="16">
        <v>3</v>
      </c>
      <c r="AA405" s="17">
        <v>1</v>
      </c>
      <c r="AB405" s="16">
        <v>2</v>
      </c>
      <c r="AC405" s="16">
        <v>2</v>
      </c>
      <c r="AD405" s="17">
        <v>2</v>
      </c>
      <c r="AE405" s="17">
        <v>2</v>
      </c>
      <c r="AF405" s="17">
        <v>2</v>
      </c>
      <c r="AG405" s="16">
        <v>1</v>
      </c>
      <c r="AH405" s="16">
        <v>2</v>
      </c>
      <c r="AI405" s="17">
        <v>2</v>
      </c>
      <c r="AJ405" s="16">
        <v>2</v>
      </c>
      <c r="AK405" s="16">
        <v>2</v>
      </c>
      <c r="AL405" s="16">
        <v>3</v>
      </c>
      <c r="AM405" s="16">
        <v>3</v>
      </c>
      <c r="AN405" s="16">
        <v>2</v>
      </c>
      <c r="AO405" s="16">
        <v>2</v>
      </c>
      <c r="AP405" s="17">
        <v>2</v>
      </c>
      <c r="AQ405" s="16">
        <v>1</v>
      </c>
      <c r="AR405" s="17">
        <v>3</v>
      </c>
      <c r="AS405" s="17">
        <v>2</v>
      </c>
      <c r="AT405" s="16">
        <v>2</v>
      </c>
      <c r="AU405" s="17">
        <v>1</v>
      </c>
      <c r="AV405" s="16">
        <v>1</v>
      </c>
      <c r="AW405" s="16">
        <v>2</v>
      </c>
      <c r="AX405" s="16">
        <v>2</v>
      </c>
      <c r="AY405" s="16">
        <v>2</v>
      </c>
      <c r="AZ405" s="16">
        <v>2</v>
      </c>
      <c r="BA405" s="16">
        <v>2</v>
      </c>
      <c r="BB405" s="16">
        <v>1</v>
      </c>
      <c r="BC405" s="17">
        <v>2</v>
      </c>
      <c r="BD405" s="16">
        <v>2</v>
      </c>
      <c r="BE405" s="17">
        <v>2</v>
      </c>
      <c r="BF405" s="17">
        <v>3</v>
      </c>
      <c r="BG405" s="16">
        <v>1</v>
      </c>
      <c r="BH405" s="17">
        <v>2</v>
      </c>
      <c r="BI405" s="16">
        <v>2</v>
      </c>
      <c r="BJ405" s="16">
        <v>2</v>
      </c>
    </row>
    <row r="406" spans="1:62" ht="18.75" customHeight="1" x14ac:dyDescent="0.25">
      <c r="A406" s="64"/>
      <c r="B406" s="14" t="s">
        <v>130</v>
      </c>
      <c r="C406" s="15"/>
      <c r="D406" s="16">
        <v>1</v>
      </c>
      <c r="E406" s="16">
        <v>3</v>
      </c>
      <c r="F406" s="16">
        <v>1</v>
      </c>
      <c r="G406" s="17">
        <v>1</v>
      </c>
      <c r="H406" s="16">
        <v>1</v>
      </c>
      <c r="I406" s="16">
        <v>1</v>
      </c>
      <c r="J406" s="16">
        <v>0</v>
      </c>
      <c r="K406" s="16">
        <v>1</v>
      </c>
      <c r="L406" s="16">
        <v>0</v>
      </c>
      <c r="M406" s="16">
        <v>1</v>
      </c>
      <c r="N406" s="16">
        <v>1</v>
      </c>
      <c r="O406" s="16">
        <v>1</v>
      </c>
      <c r="P406" s="16">
        <v>1</v>
      </c>
      <c r="Q406" s="16">
        <v>2</v>
      </c>
      <c r="R406" s="17">
        <v>0</v>
      </c>
      <c r="S406" s="16">
        <v>1</v>
      </c>
      <c r="T406" s="16">
        <v>1</v>
      </c>
      <c r="U406" s="16">
        <v>1</v>
      </c>
      <c r="V406" s="16">
        <v>1</v>
      </c>
      <c r="W406" s="16">
        <v>2</v>
      </c>
      <c r="X406" s="16">
        <v>1</v>
      </c>
      <c r="Y406" s="16">
        <v>1</v>
      </c>
      <c r="Z406" s="16">
        <v>0</v>
      </c>
      <c r="AA406" s="17">
        <v>1</v>
      </c>
      <c r="AB406" s="16">
        <v>2</v>
      </c>
      <c r="AC406" s="16">
        <v>1</v>
      </c>
      <c r="AD406" s="17">
        <v>1</v>
      </c>
      <c r="AE406" s="17">
        <v>1</v>
      </c>
      <c r="AF406" s="17">
        <v>0</v>
      </c>
      <c r="AG406" s="16">
        <v>1</v>
      </c>
      <c r="AH406" s="16">
        <v>1</v>
      </c>
      <c r="AI406" s="17">
        <v>1</v>
      </c>
      <c r="AJ406" s="16">
        <v>2</v>
      </c>
      <c r="AK406" s="16">
        <v>1</v>
      </c>
      <c r="AL406" s="16">
        <v>1</v>
      </c>
      <c r="AM406" s="16">
        <v>2</v>
      </c>
      <c r="AN406" s="16">
        <v>1</v>
      </c>
      <c r="AO406" s="16">
        <v>0</v>
      </c>
      <c r="AP406" s="17">
        <v>1</v>
      </c>
      <c r="AQ406" s="16">
        <v>1</v>
      </c>
      <c r="AR406" s="17">
        <v>1</v>
      </c>
      <c r="AS406" s="17">
        <v>1</v>
      </c>
      <c r="AT406" s="16">
        <v>2</v>
      </c>
      <c r="AU406" s="17">
        <v>0</v>
      </c>
      <c r="AV406" s="16">
        <v>1</v>
      </c>
      <c r="AW406" s="16">
        <v>1</v>
      </c>
      <c r="AX406" s="16">
        <v>2</v>
      </c>
      <c r="AY406" s="16">
        <v>1</v>
      </c>
      <c r="AZ406" s="16">
        <v>0</v>
      </c>
      <c r="BA406" s="16">
        <v>1</v>
      </c>
      <c r="BB406" s="16">
        <v>0</v>
      </c>
      <c r="BC406" s="17">
        <v>1</v>
      </c>
      <c r="BD406" s="16">
        <v>1</v>
      </c>
      <c r="BE406" s="17">
        <v>2</v>
      </c>
      <c r="BF406" s="17">
        <v>2</v>
      </c>
      <c r="BG406" s="16">
        <v>1</v>
      </c>
      <c r="BH406" s="17">
        <v>1</v>
      </c>
      <c r="BI406" s="16">
        <v>2</v>
      </c>
      <c r="BJ406" s="16">
        <v>2</v>
      </c>
    </row>
    <row r="407" spans="1:62" ht="15.75" customHeight="1" x14ac:dyDescent="0.25">
      <c r="A407" s="64"/>
      <c r="B407" s="18">
        <v>46190</v>
      </c>
      <c r="C407" s="60" t="s">
        <v>65</v>
      </c>
      <c r="D407" s="55">
        <f t="shared" ref="D407:BJ407" si="154">IF($C405="",0,IF(AND(D405=$C405,D406=$C406),5,IF(OR(AND(D405-D406&gt;0,$C405-$C406&gt;0),AND(D406-D405&gt;0,$C406-$C405&gt;0),AND(D405-D406=0,$C405-$C406=0)),2,0)+IF(OR(D405=$C405,D406=$C406),1,0)))</f>
        <v>0</v>
      </c>
      <c r="E407" s="55">
        <f t="shared" si="154"/>
        <v>0</v>
      </c>
      <c r="F407" s="55">
        <f t="shared" si="154"/>
        <v>0</v>
      </c>
      <c r="G407" s="55">
        <f t="shared" si="154"/>
        <v>0</v>
      </c>
      <c r="H407" s="55">
        <f t="shared" si="154"/>
        <v>0</v>
      </c>
      <c r="I407" s="55">
        <f t="shared" si="154"/>
        <v>0</v>
      </c>
      <c r="J407" s="55">
        <f t="shared" si="154"/>
        <v>0</v>
      </c>
      <c r="K407" s="55">
        <f t="shared" si="154"/>
        <v>0</v>
      </c>
      <c r="L407" s="55">
        <f t="shared" si="154"/>
        <v>0</v>
      </c>
      <c r="M407" s="55">
        <f t="shared" si="154"/>
        <v>0</v>
      </c>
      <c r="N407" s="55">
        <f t="shared" si="154"/>
        <v>0</v>
      </c>
      <c r="O407" s="55">
        <f t="shared" si="154"/>
        <v>0</v>
      </c>
      <c r="P407" s="55">
        <f t="shared" si="154"/>
        <v>0</v>
      </c>
      <c r="Q407" s="55">
        <f t="shared" si="154"/>
        <v>0</v>
      </c>
      <c r="R407" s="55">
        <f t="shared" si="154"/>
        <v>0</v>
      </c>
      <c r="S407" s="55">
        <f t="shared" si="154"/>
        <v>0</v>
      </c>
      <c r="T407" s="55">
        <f t="shared" si="154"/>
        <v>0</v>
      </c>
      <c r="U407" s="55">
        <f t="shared" si="154"/>
        <v>0</v>
      </c>
      <c r="V407" s="55">
        <f t="shared" si="154"/>
        <v>0</v>
      </c>
      <c r="W407" s="55">
        <f t="shared" si="154"/>
        <v>0</v>
      </c>
      <c r="X407" s="55">
        <f t="shared" si="154"/>
        <v>0</v>
      </c>
      <c r="Y407" s="55">
        <f t="shared" si="154"/>
        <v>0</v>
      </c>
      <c r="Z407" s="55">
        <f t="shared" si="154"/>
        <v>0</v>
      </c>
      <c r="AA407" s="55">
        <f t="shared" si="154"/>
        <v>0</v>
      </c>
      <c r="AB407" s="55">
        <f t="shared" si="154"/>
        <v>0</v>
      </c>
      <c r="AC407" s="55">
        <f t="shared" si="154"/>
        <v>0</v>
      </c>
      <c r="AD407" s="55">
        <f t="shared" si="154"/>
        <v>0</v>
      </c>
      <c r="AE407" s="55">
        <f t="shared" si="154"/>
        <v>0</v>
      </c>
      <c r="AF407" s="55">
        <f t="shared" si="154"/>
        <v>0</v>
      </c>
      <c r="AG407" s="55">
        <f t="shared" si="154"/>
        <v>0</v>
      </c>
      <c r="AH407" s="55">
        <f t="shared" si="154"/>
        <v>0</v>
      </c>
      <c r="AI407" s="55">
        <f t="shared" si="154"/>
        <v>0</v>
      </c>
      <c r="AJ407" s="55">
        <f t="shared" si="154"/>
        <v>0</v>
      </c>
      <c r="AK407" s="55">
        <f t="shared" si="154"/>
        <v>0</v>
      </c>
      <c r="AL407" s="55">
        <f t="shared" si="154"/>
        <v>0</v>
      </c>
      <c r="AM407" s="55">
        <f t="shared" si="154"/>
        <v>0</v>
      </c>
      <c r="AN407" s="55">
        <f t="shared" si="154"/>
        <v>0</v>
      </c>
      <c r="AO407" s="55">
        <f t="shared" si="154"/>
        <v>0</v>
      </c>
      <c r="AP407" s="55">
        <f t="shared" si="154"/>
        <v>0</v>
      </c>
      <c r="AQ407" s="55">
        <f t="shared" ref="AQ407" si="155">IF($C405="",0,IF(AND(AQ405=$C405,AQ406=$C406),5,IF(OR(AND(AQ405-AQ406&gt;0,$C405-$C406&gt;0),AND(AQ406-AQ405&gt;0,$C406-$C405&gt;0),AND(AQ405-AQ406=0,$C405-$C406=0)),2,0)+IF(OR(AQ405=$C405,AQ406=$C406),1,0)))</f>
        <v>0</v>
      </c>
      <c r="AR407" s="55">
        <f t="shared" si="154"/>
        <v>0</v>
      </c>
      <c r="AS407" s="55">
        <f t="shared" si="154"/>
        <v>0</v>
      </c>
      <c r="AT407" s="55">
        <f t="shared" si="154"/>
        <v>0</v>
      </c>
      <c r="AU407" s="55">
        <f t="shared" si="154"/>
        <v>0</v>
      </c>
      <c r="AV407" s="55">
        <f t="shared" si="154"/>
        <v>0</v>
      </c>
      <c r="AW407" s="55">
        <f t="shared" si="154"/>
        <v>0</v>
      </c>
      <c r="AX407" s="55">
        <f t="shared" si="154"/>
        <v>0</v>
      </c>
      <c r="AY407" s="55">
        <f t="shared" si="154"/>
        <v>0</v>
      </c>
      <c r="AZ407" s="55">
        <f t="shared" si="154"/>
        <v>0</v>
      </c>
      <c r="BA407" s="55">
        <f t="shared" si="154"/>
        <v>0</v>
      </c>
      <c r="BB407" s="55">
        <f t="shared" si="154"/>
        <v>0</v>
      </c>
      <c r="BC407" s="55">
        <f t="shared" si="154"/>
        <v>0</v>
      </c>
      <c r="BD407" s="55">
        <f t="shared" si="154"/>
        <v>0</v>
      </c>
      <c r="BE407" s="55">
        <f t="shared" si="154"/>
        <v>0</v>
      </c>
      <c r="BF407" s="55">
        <f t="shared" si="154"/>
        <v>0</v>
      </c>
      <c r="BG407" s="55">
        <f t="shared" si="154"/>
        <v>0</v>
      </c>
      <c r="BH407" s="55">
        <f t="shared" si="154"/>
        <v>0</v>
      </c>
      <c r="BI407" s="55">
        <f t="shared" si="154"/>
        <v>0</v>
      </c>
      <c r="BJ407" s="55">
        <f t="shared" si="154"/>
        <v>0</v>
      </c>
    </row>
    <row r="408" spans="1:62" ht="15.75" customHeight="1" x14ac:dyDescent="0.25">
      <c r="A408" s="65"/>
      <c r="B408" s="19">
        <v>0.625</v>
      </c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</row>
    <row r="409" spans="1:62" ht="15.75" customHeight="1" x14ac:dyDescent="0.25">
      <c r="A409" s="13"/>
      <c r="B409" s="13"/>
      <c r="C409" s="13"/>
      <c r="D409" s="2"/>
      <c r="E409" s="2"/>
      <c r="F409" s="2"/>
      <c r="G409" s="2"/>
      <c r="H409" s="3"/>
      <c r="I409" s="3"/>
      <c r="J409" s="3"/>
    </row>
    <row r="410" spans="1:62" ht="18.75" customHeight="1" x14ac:dyDescent="0.25">
      <c r="A410" s="63">
        <v>21</v>
      </c>
      <c r="B410" s="14" t="s">
        <v>131</v>
      </c>
      <c r="C410" s="15"/>
      <c r="D410" s="16">
        <v>2</v>
      </c>
      <c r="E410" s="16">
        <v>2</v>
      </c>
      <c r="F410" s="16">
        <v>2</v>
      </c>
      <c r="G410" s="17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2</v>
      </c>
      <c r="M410" s="16">
        <v>2</v>
      </c>
      <c r="N410" s="16">
        <v>1</v>
      </c>
      <c r="O410" s="16">
        <v>2</v>
      </c>
      <c r="P410" s="16">
        <v>1</v>
      </c>
      <c r="Q410" s="16">
        <v>1</v>
      </c>
      <c r="R410" s="17">
        <v>2</v>
      </c>
      <c r="S410" s="16">
        <v>1</v>
      </c>
      <c r="T410" s="16">
        <v>2</v>
      </c>
      <c r="U410" s="16">
        <v>1</v>
      </c>
      <c r="V410" s="16">
        <v>1</v>
      </c>
      <c r="W410" s="16">
        <v>4</v>
      </c>
      <c r="X410" s="16">
        <v>2</v>
      </c>
      <c r="Y410" s="16">
        <v>2</v>
      </c>
      <c r="Z410" s="16">
        <v>2</v>
      </c>
      <c r="AA410" s="17">
        <v>2</v>
      </c>
      <c r="AB410" s="16">
        <v>2</v>
      </c>
      <c r="AC410" s="16">
        <v>2</v>
      </c>
      <c r="AD410" s="17">
        <v>0</v>
      </c>
      <c r="AE410" s="17">
        <v>1</v>
      </c>
      <c r="AF410" s="17">
        <v>2</v>
      </c>
      <c r="AG410" s="16">
        <v>2</v>
      </c>
      <c r="AH410" s="16">
        <v>1</v>
      </c>
      <c r="AI410" s="17">
        <v>0</v>
      </c>
      <c r="AJ410" s="16">
        <v>5</v>
      </c>
      <c r="AK410" s="16">
        <v>1</v>
      </c>
      <c r="AL410" s="16">
        <v>2</v>
      </c>
      <c r="AM410" s="16">
        <v>2</v>
      </c>
      <c r="AN410" s="16">
        <v>2</v>
      </c>
      <c r="AO410" s="16">
        <v>1</v>
      </c>
      <c r="AP410" s="17">
        <v>1</v>
      </c>
      <c r="AQ410" s="16">
        <v>2</v>
      </c>
      <c r="AR410" s="17">
        <v>2</v>
      </c>
      <c r="AS410" s="17">
        <v>2</v>
      </c>
      <c r="AT410" s="16">
        <v>2</v>
      </c>
      <c r="AU410" s="17">
        <v>1</v>
      </c>
      <c r="AV410" s="16">
        <v>2</v>
      </c>
      <c r="AW410" s="16">
        <v>1</v>
      </c>
      <c r="AX410" s="16">
        <v>1</v>
      </c>
      <c r="AY410" s="16">
        <v>2</v>
      </c>
      <c r="AZ410" s="16">
        <v>1</v>
      </c>
      <c r="BA410" s="16">
        <v>0</v>
      </c>
      <c r="BB410" s="16">
        <v>2</v>
      </c>
      <c r="BC410" s="17">
        <v>1</v>
      </c>
      <c r="BD410" s="16">
        <v>2</v>
      </c>
      <c r="BE410" s="17">
        <v>1</v>
      </c>
      <c r="BF410" s="17">
        <v>2</v>
      </c>
      <c r="BG410" s="16">
        <v>2</v>
      </c>
      <c r="BH410" s="17">
        <v>2</v>
      </c>
      <c r="BI410" s="16">
        <v>0</v>
      </c>
      <c r="BJ410" s="16">
        <v>1</v>
      </c>
    </row>
    <row r="411" spans="1:62" ht="22.5" customHeight="1" x14ac:dyDescent="0.25">
      <c r="A411" s="64"/>
      <c r="B411" s="14" t="s">
        <v>132</v>
      </c>
      <c r="C411" s="15"/>
      <c r="D411" s="16">
        <v>1</v>
      </c>
      <c r="E411" s="16">
        <v>1</v>
      </c>
      <c r="F411" s="16">
        <v>0</v>
      </c>
      <c r="G411" s="17">
        <v>1</v>
      </c>
      <c r="H411" s="16">
        <v>1</v>
      </c>
      <c r="I411" s="16">
        <v>0</v>
      </c>
      <c r="J411" s="16">
        <v>1</v>
      </c>
      <c r="K411" s="16">
        <v>0</v>
      </c>
      <c r="L411" s="16">
        <v>0</v>
      </c>
      <c r="M411" s="16">
        <v>1</v>
      </c>
      <c r="N411" s="16">
        <v>1</v>
      </c>
      <c r="O411" s="16">
        <v>1</v>
      </c>
      <c r="P411" s="16">
        <v>1</v>
      </c>
      <c r="Q411" s="16">
        <v>2</v>
      </c>
      <c r="R411" s="17">
        <v>0</v>
      </c>
      <c r="S411" s="16">
        <v>0</v>
      </c>
      <c r="T411" s="16">
        <v>0</v>
      </c>
      <c r="U411" s="16">
        <v>2</v>
      </c>
      <c r="V411" s="16">
        <v>2</v>
      </c>
      <c r="W411" s="16">
        <v>1</v>
      </c>
      <c r="X411" s="16">
        <v>1</v>
      </c>
      <c r="Y411" s="16">
        <v>0</v>
      </c>
      <c r="Z411" s="16">
        <v>1</v>
      </c>
      <c r="AA411" s="17">
        <v>0</v>
      </c>
      <c r="AB411" s="16">
        <v>0</v>
      </c>
      <c r="AC411" s="16">
        <v>0</v>
      </c>
      <c r="AD411" s="17">
        <v>1</v>
      </c>
      <c r="AE411" s="17">
        <v>1</v>
      </c>
      <c r="AF411" s="17">
        <v>1</v>
      </c>
      <c r="AG411" s="16">
        <v>1</v>
      </c>
      <c r="AH411" s="16">
        <v>0</v>
      </c>
      <c r="AI411" s="17">
        <v>1</v>
      </c>
      <c r="AJ411" s="16">
        <v>0</v>
      </c>
      <c r="AK411" s="16">
        <v>0</v>
      </c>
      <c r="AL411" s="16">
        <v>1</v>
      </c>
      <c r="AM411" s="16">
        <v>1</v>
      </c>
      <c r="AN411" s="16">
        <v>1</v>
      </c>
      <c r="AO411" s="16">
        <v>1</v>
      </c>
      <c r="AP411" s="17">
        <v>1</v>
      </c>
      <c r="AQ411" s="16">
        <v>1</v>
      </c>
      <c r="AR411" s="17">
        <v>1</v>
      </c>
      <c r="AS411" s="17">
        <v>0</v>
      </c>
      <c r="AT411" s="16">
        <v>0</v>
      </c>
      <c r="AU411" s="17">
        <v>1</v>
      </c>
      <c r="AV411" s="16">
        <v>1</v>
      </c>
      <c r="AW411" s="16">
        <v>1</v>
      </c>
      <c r="AX411" s="16">
        <v>1</v>
      </c>
      <c r="AY411" s="16">
        <v>0</v>
      </c>
      <c r="AZ411" s="16">
        <v>0</v>
      </c>
      <c r="BA411" s="16">
        <v>1</v>
      </c>
      <c r="BB411" s="16">
        <v>1</v>
      </c>
      <c r="BC411" s="17">
        <v>1</v>
      </c>
      <c r="BD411" s="16">
        <v>0</v>
      </c>
      <c r="BE411" s="17">
        <v>0</v>
      </c>
      <c r="BF411" s="17">
        <v>1</v>
      </c>
      <c r="BG411" s="16">
        <v>1</v>
      </c>
      <c r="BH411" s="17">
        <v>0</v>
      </c>
      <c r="BI411" s="16">
        <v>0</v>
      </c>
      <c r="BJ411" s="16">
        <v>0</v>
      </c>
    </row>
    <row r="412" spans="1:62" ht="15.75" customHeight="1" x14ac:dyDescent="0.25">
      <c r="A412" s="64"/>
      <c r="B412" s="18">
        <v>46190</v>
      </c>
      <c r="C412" s="60" t="s">
        <v>65</v>
      </c>
      <c r="D412" s="55">
        <f t="shared" ref="D412:BJ412" si="156">IF($C410="",0,IF(AND(D410=$C410,D411=$C411),5,IF(OR(AND(D410-D411&gt;0,$C410-$C411&gt;0),AND(D411-D410&gt;0,$C411-$C410&gt;0),AND(D410-D411=0,$C410-$C411=0)),2,0)+IF(OR(D410=$C410,D411=$C411),1,0)))</f>
        <v>0</v>
      </c>
      <c r="E412" s="55">
        <f t="shared" si="156"/>
        <v>0</v>
      </c>
      <c r="F412" s="55">
        <f t="shared" si="156"/>
        <v>0</v>
      </c>
      <c r="G412" s="55">
        <f t="shared" si="156"/>
        <v>0</v>
      </c>
      <c r="H412" s="55">
        <f t="shared" si="156"/>
        <v>0</v>
      </c>
      <c r="I412" s="55">
        <f t="shared" si="156"/>
        <v>0</v>
      </c>
      <c r="J412" s="55">
        <f t="shared" si="156"/>
        <v>0</v>
      </c>
      <c r="K412" s="55">
        <f t="shared" si="156"/>
        <v>0</v>
      </c>
      <c r="L412" s="55">
        <f t="shared" si="156"/>
        <v>0</v>
      </c>
      <c r="M412" s="55">
        <f t="shared" si="156"/>
        <v>0</v>
      </c>
      <c r="N412" s="55">
        <f t="shared" si="156"/>
        <v>0</v>
      </c>
      <c r="O412" s="55">
        <f t="shared" si="156"/>
        <v>0</v>
      </c>
      <c r="P412" s="55">
        <f t="shared" si="156"/>
        <v>0</v>
      </c>
      <c r="Q412" s="55">
        <f t="shared" si="156"/>
        <v>0</v>
      </c>
      <c r="R412" s="55">
        <f t="shared" si="156"/>
        <v>0</v>
      </c>
      <c r="S412" s="55">
        <f t="shared" si="156"/>
        <v>0</v>
      </c>
      <c r="T412" s="55">
        <f t="shared" si="156"/>
        <v>0</v>
      </c>
      <c r="U412" s="55">
        <f t="shared" si="156"/>
        <v>0</v>
      </c>
      <c r="V412" s="55">
        <f t="shared" si="156"/>
        <v>0</v>
      </c>
      <c r="W412" s="55">
        <f t="shared" si="156"/>
        <v>0</v>
      </c>
      <c r="X412" s="55">
        <f t="shared" si="156"/>
        <v>0</v>
      </c>
      <c r="Y412" s="55">
        <f t="shared" si="156"/>
        <v>0</v>
      </c>
      <c r="Z412" s="55">
        <f t="shared" si="156"/>
        <v>0</v>
      </c>
      <c r="AA412" s="55">
        <f t="shared" si="156"/>
        <v>0</v>
      </c>
      <c r="AB412" s="55">
        <f t="shared" si="156"/>
        <v>0</v>
      </c>
      <c r="AC412" s="55">
        <f t="shared" si="156"/>
        <v>0</v>
      </c>
      <c r="AD412" s="55">
        <f t="shared" si="156"/>
        <v>0</v>
      </c>
      <c r="AE412" s="55">
        <f t="shared" si="156"/>
        <v>0</v>
      </c>
      <c r="AF412" s="55">
        <f t="shared" si="156"/>
        <v>0</v>
      </c>
      <c r="AG412" s="55">
        <f t="shared" si="156"/>
        <v>0</v>
      </c>
      <c r="AH412" s="55">
        <f t="shared" si="156"/>
        <v>0</v>
      </c>
      <c r="AI412" s="55">
        <f t="shared" si="156"/>
        <v>0</v>
      </c>
      <c r="AJ412" s="55">
        <f t="shared" si="156"/>
        <v>0</v>
      </c>
      <c r="AK412" s="55">
        <f t="shared" si="156"/>
        <v>0</v>
      </c>
      <c r="AL412" s="55">
        <f t="shared" si="156"/>
        <v>0</v>
      </c>
      <c r="AM412" s="55">
        <f t="shared" si="156"/>
        <v>0</v>
      </c>
      <c r="AN412" s="55">
        <f t="shared" si="156"/>
        <v>0</v>
      </c>
      <c r="AO412" s="55">
        <f t="shared" si="156"/>
        <v>0</v>
      </c>
      <c r="AP412" s="55">
        <f t="shared" si="156"/>
        <v>0</v>
      </c>
      <c r="AQ412" s="55">
        <f t="shared" ref="AQ412" si="157">IF($C410="",0,IF(AND(AQ410=$C410,AQ411=$C411),5,IF(OR(AND(AQ410-AQ411&gt;0,$C410-$C411&gt;0),AND(AQ411-AQ410&gt;0,$C411-$C410&gt;0),AND(AQ410-AQ411=0,$C410-$C411=0)),2,0)+IF(OR(AQ410=$C410,AQ411=$C411),1,0)))</f>
        <v>0</v>
      </c>
      <c r="AR412" s="55">
        <f t="shared" si="156"/>
        <v>0</v>
      </c>
      <c r="AS412" s="55">
        <f t="shared" si="156"/>
        <v>0</v>
      </c>
      <c r="AT412" s="55">
        <f t="shared" si="156"/>
        <v>0</v>
      </c>
      <c r="AU412" s="55">
        <f t="shared" si="156"/>
        <v>0</v>
      </c>
      <c r="AV412" s="55">
        <f t="shared" si="156"/>
        <v>0</v>
      </c>
      <c r="AW412" s="55">
        <f t="shared" si="156"/>
        <v>0</v>
      </c>
      <c r="AX412" s="55">
        <f t="shared" si="156"/>
        <v>0</v>
      </c>
      <c r="AY412" s="55">
        <f t="shared" si="156"/>
        <v>0</v>
      </c>
      <c r="AZ412" s="55">
        <f t="shared" si="156"/>
        <v>0</v>
      </c>
      <c r="BA412" s="55">
        <f t="shared" si="156"/>
        <v>0</v>
      </c>
      <c r="BB412" s="55">
        <f t="shared" si="156"/>
        <v>0</v>
      </c>
      <c r="BC412" s="55">
        <f t="shared" si="156"/>
        <v>0</v>
      </c>
      <c r="BD412" s="55">
        <f t="shared" si="156"/>
        <v>0</v>
      </c>
      <c r="BE412" s="55">
        <f t="shared" si="156"/>
        <v>0</v>
      </c>
      <c r="BF412" s="55">
        <f t="shared" si="156"/>
        <v>0</v>
      </c>
      <c r="BG412" s="55">
        <f t="shared" si="156"/>
        <v>0</v>
      </c>
      <c r="BH412" s="55">
        <f t="shared" si="156"/>
        <v>0</v>
      </c>
      <c r="BI412" s="55">
        <f t="shared" si="156"/>
        <v>0</v>
      </c>
      <c r="BJ412" s="55">
        <f t="shared" si="156"/>
        <v>0</v>
      </c>
    </row>
    <row r="413" spans="1:62" ht="15.75" customHeight="1" x14ac:dyDescent="0.25">
      <c r="A413" s="65"/>
      <c r="B413" s="19">
        <v>0.75</v>
      </c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</row>
    <row r="414" spans="1:62" ht="15.75" customHeight="1" x14ac:dyDescent="0.25">
      <c r="A414" s="13"/>
      <c r="B414" s="13"/>
      <c r="C414" s="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</row>
    <row r="415" spans="1:62" ht="22.5" customHeight="1" x14ac:dyDescent="0.25">
      <c r="A415" s="61">
        <v>45</v>
      </c>
      <c r="B415" s="14" t="s">
        <v>129</v>
      </c>
      <c r="C415" s="15"/>
      <c r="D415" s="16">
        <v>2</v>
      </c>
      <c r="E415" s="16">
        <v>3</v>
      </c>
      <c r="F415" s="16">
        <v>2</v>
      </c>
      <c r="G415" s="17">
        <v>4</v>
      </c>
      <c r="H415" s="16">
        <v>2</v>
      </c>
      <c r="I415" s="16">
        <v>3</v>
      </c>
      <c r="J415" s="16">
        <v>3</v>
      </c>
      <c r="K415" s="16">
        <v>3</v>
      </c>
      <c r="L415" s="16">
        <v>3</v>
      </c>
      <c r="M415" s="16">
        <v>2</v>
      </c>
      <c r="N415" s="16">
        <v>2</v>
      </c>
      <c r="O415" s="16">
        <v>3</v>
      </c>
      <c r="P415" s="16">
        <v>3</v>
      </c>
      <c r="Q415" s="16">
        <v>3</v>
      </c>
      <c r="R415" s="17">
        <v>2</v>
      </c>
      <c r="S415" s="16">
        <v>2</v>
      </c>
      <c r="T415" s="16">
        <v>1</v>
      </c>
      <c r="U415" s="16">
        <v>1</v>
      </c>
      <c r="V415" s="16">
        <v>3</v>
      </c>
      <c r="W415" s="16">
        <v>2</v>
      </c>
      <c r="X415" s="16">
        <v>2</v>
      </c>
      <c r="Y415" s="16">
        <v>2</v>
      </c>
      <c r="Z415" s="16">
        <v>2</v>
      </c>
      <c r="AA415" s="17">
        <v>3</v>
      </c>
      <c r="AB415" s="16">
        <v>2</v>
      </c>
      <c r="AC415" s="16">
        <v>2</v>
      </c>
      <c r="AD415" s="17">
        <v>3</v>
      </c>
      <c r="AE415" s="17">
        <v>2</v>
      </c>
      <c r="AF415" s="17">
        <v>3</v>
      </c>
      <c r="AG415" s="16">
        <v>2</v>
      </c>
      <c r="AH415" s="16">
        <v>2</v>
      </c>
      <c r="AI415" s="17">
        <v>3</v>
      </c>
      <c r="AJ415" s="16">
        <v>3</v>
      </c>
      <c r="AK415" s="16">
        <v>3</v>
      </c>
      <c r="AL415" s="16">
        <v>4</v>
      </c>
      <c r="AM415" s="16">
        <v>2</v>
      </c>
      <c r="AN415" s="16">
        <v>2</v>
      </c>
      <c r="AO415" s="16">
        <v>3</v>
      </c>
      <c r="AP415" s="17">
        <v>4</v>
      </c>
      <c r="AQ415" s="16">
        <v>2</v>
      </c>
      <c r="AR415" s="17">
        <v>4</v>
      </c>
      <c r="AS415" s="17">
        <v>2</v>
      </c>
      <c r="AT415" s="16">
        <v>2</v>
      </c>
      <c r="AU415" s="17">
        <v>2</v>
      </c>
      <c r="AV415" s="16">
        <v>2</v>
      </c>
      <c r="AW415" s="16">
        <v>2</v>
      </c>
      <c r="AX415" s="16">
        <v>2</v>
      </c>
      <c r="AY415" s="16">
        <v>3</v>
      </c>
      <c r="AZ415" s="16">
        <v>2</v>
      </c>
      <c r="BA415" s="16">
        <v>3</v>
      </c>
      <c r="BB415" s="16">
        <v>4</v>
      </c>
      <c r="BC415" s="17">
        <v>2</v>
      </c>
      <c r="BD415" s="16">
        <v>3</v>
      </c>
      <c r="BE415" s="17">
        <v>2</v>
      </c>
      <c r="BF415" s="17">
        <v>3</v>
      </c>
      <c r="BG415" s="16">
        <v>2</v>
      </c>
      <c r="BH415" s="17">
        <v>1</v>
      </c>
      <c r="BI415" s="16">
        <v>3</v>
      </c>
      <c r="BJ415" s="16">
        <v>2</v>
      </c>
    </row>
    <row r="416" spans="1:62" ht="23.25" customHeight="1" x14ac:dyDescent="0.25">
      <c r="A416" s="62"/>
      <c r="B416" s="14" t="s">
        <v>131</v>
      </c>
      <c r="C416" s="15"/>
      <c r="D416" s="16">
        <v>0</v>
      </c>
      <c r="E416" s="16">
        <v>1</v>
      </c>
      <c r="F416" s="16">
        <v>0</v>
      </c>
      <c r="G416" s="17">
        <v>0</v>
      </c>
      <c r="H416" s="16">
        <v>0</v>
      </c>
      <c r="I416" s="16">
        <v>1</v>
      </c>
      <c r="J416" s="16">
        <v>1</v>
      </c>
      <c r="K416" s="16">
        <v>0</v>
      </c>
      <c r="L416" s="16">
        <v>1</v>
      </c>
      <c r="M416" s="16">
        <v>0</v>
      </c>
      <c r="N416" s="16">
        <v>0</v>
      </c>
      <c r="O416" s="16">
        <v>1</v>
      </c>
      <c r="P416" s="16">
        <v>1</v>
      </c>
      <c r="Q416" s="16">
        <v>1</v>
      </c>
      <c r="R416" s="17">
        <v>1</v>
      </c>
      <c r="S416" s="16">
        <v>0</v>
      </c>
      <c r="T416" s="16">
        <v>1</v>
      </c>
      <c r="U416" s="16">
        <v>0</v>
      </c>
      <c r="V416" s="16">
        <v>0</v>
      </c>
      <c r="W416" s="16">
        <v>1</v>
      </c>
      <c r="X416" s="16">
        <v>0</v>
      </c>
      <c r="Y416" s="16">
        <v>1</v>
      </c>
      <c r="Z416" s="16">
        <v>0</v>
      </c>
      <c r="AA416" s="17">
        <v>1</v>
      </c>
      <c r="AB416" s="16">
        <v>0</v>
      </c>
      <c r="AC416" s="16">
        <v>0</v>
      </c>
      <c r="AD416" s="17">
        <v>0</v>
      </c>
      <c r="AE416" s="17">
        <v>0</v>
      </c>
      <c r="AF416" s="17">
        <v>1</v>
      </c>
      <c r="AG416" s="16">
        <v>0</v>
      </c>
      <c r="AH416" s="16">
        <v>1</v>
      </c>
      <c r="AI416" s="17">
        <v>0</v>
      </c>
      <c r="AJ416" s="16">
        <v>0</v>
      </c>
      <c r="AK416" s="16">
        <v>0</v>
      </c>
      <c r="AL416" s="16">
        <v>2</v>
      </c>
      <c r="AM416" s="16">
        <v>0</v>
      </c>
      <c r="AN416" s="16">
        <v>0</v>
      </c>
      <c r="AO416" s="16">
        <v>1</v>
      </c>
      <c r="AP416" s="17">
        <v>0</v>
      </c>
      <c r="AQ416" s="16">
        <v>0</v>
      </c>
      <c r="AR416" s="17">
        <v>0</v>
      </c>
      <c r="AS416" s="17">
        <v>0</v>
      </c>
      <c r="AT416" s="16">
        <v>1</v>
      </c>
      <c r="AU416" s="17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1</v>
      </c>
      <c r="BA416" s="16">
        <v>0</v>
      </c>
      <c r="BB416" s="16">
        <v>0</v>
      </c>
      <c r="BC416" s="17">
        <v>0</v>
      </c>
      <c r="BD416" s="16">
        <v>0</v>
      </c>
      <c r="BE416" s="17">
        <v>0</v>
      </c>
      <c r="BF416" s="17">
        <v>1</v>
      </c>
      <c r="BG416" s="16">
        <v>1</v>
      </c>
      <c r="BH416" s="17">
        <v>3</v>
      </c>
      <c r="BI416" s="16">
        <v>0</v>
      </c>
      <c r="BJ416" s="16">
        <v>1</v>
      </c>
    </row>
    <row r="417" spans="1:62" ht="15.75" customHeight="1" x14ac:dyDescent="0.25">
      <c r="A417" s="62"/>
      <c r="B417" s="18">
        <v>46196</v>
      </c>
      <c r="C417" s="60" t="s">
        <v>65</v>
      </c>
      <c r="D417" s="55">
        <f t="shared" ref="D417:BJ417" si="158">IF($C415="",0,IF(AND(D415=$C415,D416=$C416),5,IF(OR(AND(D415-D416&gt;0,$C415-$C416&gt;0),AND(D416-D415&gt;0,$C416-$C415&gt;0),AND(D415-D416=0,$C415-$C416=0)),2,0)+IF(OR(D415=$C415,D416=$C416),1,0)))</f>
        <v>0</v>
      </c>
      <c r="E417" s="55">
        <f t="shared" si="158"/>
        <v>0</v>
      </c>
      <c r="F417" s="55">
        <f t="shared" si="158"/>
        <v>0</v>
      </c>
      <c r="G417" s="55">
        <f t="shared" si="158"/>
        <v>0</v>
      </c>
      <c r="H417" s="55">
        <f t="shared" si="158"/>
        <v>0</v>
      </c>
      <c r="I417" s="55">
        <f t="shared" si="158"/>
        <v>0</v>
      </c>
      <c r="J417" s="55">
        <f t="shared" si="158"/>
        <v>0</v>
      </c>
      <c r="K417" s="55">
        <f t="shared" si="158"/>
        <v>0</v>
      </c>
      <c r="L417" s="55">
        <f t="shared" si="158"/>
        <v>0</v>
      </c>
      <c r="M417" s="55">
        <f t="shared" si="158"/>
        <v>0</v>
      </c>
      <c r="N417" s="55">
        <f t="shared" si="158"/>
        <v>0</v>
      </c>
      <c r="O417" s="55">
        <f t="shared" si="158"/>
        <v>0</v>
      </c>
      <c r="P417" s="55">
        <f t="shared" si="158"/>
        <v>0</v>
      </c>
      <c r="Q417" s="55">
        <f t="shared" si="158"/>
        <v>0</v>
      </c>
      <c r="R417" s="55">
        <f t="shared" si="158"/>
        <v>0</v>
      </c>
      <c r="S417" s="55">
        <f t="shared" si="158"/>
        <v>0</v>
      </c>
      <c r="T417" s="55">
        <f t="shared" si="158"/>
        <v>0</v>
      </c>
      <c r="U417" s="55">
        <f t="shared" si="158"/>
        <v>0</v>
      </c>
      <c r="V417" s="55">
        <f t="shared" si="158"/>
        <v>0</v>
      </c>
      <c r="W417" s="55">
        <f t="shared" si="158"/>
        <v>0</v>
      </c>
      <c r="X417" s="55">
        <f t="shared" si="158"/>
        <v>0</v>
      </c>
      <c r="Y417" s="55">
        <f t="shared" si="158"/>
        <v>0</v>
      </c>
      <c r="Z417" s="55">
        <f t="shared" si="158"/>
        <v>0</v>
      </c>
      <c r="AA417" s="55">
        <f t="shared" si="158"/>
        <v>0</v>
      </c>
      <c r="AB417" s="55">
        <f t="shared" si="158"/>
        <v>0</v>
      </c>
      <c r="AC417" s="55">
        <f t="shared" si="158"/>
        <v>0</v>
      </c>
      <c r="AD417" s="55">
        <f t="shared" si="158"/>
        <v>0</v>
      </c>
      <c r="AE417" s="55">
        <f t="shared" si="158"/>
        <v>0</v>
      </c>
      <c r="AF417" s="55">
        <f t="shared" si="158"/>
        <v>0</v>
      </c>
      <c r="AG417" s="55">
        <f t="shared" si="158"/>
        <v>0</v>
      </c>
      <c r="AH417" s="55">
        <f t="shared" si="158"/>
        <v>0</v>
      </c>
      <c r="AI417" s="55">
        <f t="shared" si="158"/>
        <v>0</v>
      </c>
      <c r="AJ417" s="55">
        <f t="shared" si="158"/>
        <v>0</v>
      </c>
      <c r="AK417" s="55">
        <f t="shared" si="158"/>
        <v>0</v>
      </c>
      <c r="AL417" s="55">
        <f t="shared" si="158"/>
        <v>0</v>
      </c>
      <c r="AM417" s="55">
        <f t="shared" si="158"/>
        <v>0</v>
      </c>
      <c r="AN417" s="55">
        <f t="shared" si="158"/>
        <v>0</v>
      </c>
      <c r="AO417" s="55">
        <f t="shared" si="158"/>
        <v>0</v>
      </c>
      <c r="AP417" s="55">
        <f t="shared" si="158"/>
        <v>0</v>
      </c>
      <c r="AQ417" s="55">
        <f t="shared" ref="AQ417" si="159">IF($C415="",0,IF(AND(AQ415=$C415,AQ416=$C416),5,IF(OR(AND(AQ415-AQ416&gt;0,$C415-$C416&gt;0),AND(AQ416-AQ415&gt;0,$C416-$C415&gt;0),AND(AQ415-AQ416=0,$C415-$C416=0)),2,0)+IF(OR(AQ415=$C415,AQ416=$C416),1,0)))</f>
        <v>0</v>
      </c>
      <c r="AR417" s="55">
        <f t="shared" si="158"/>
        <v>0</v>
      </c>
      <c r="AS417" s="55">
        <f t="shared" si="158"/>
        <v>0</v>
      </c>
      <c r="AT417" s="55">
        <f t="shared" si="158"/>
        <v>0</v>
      </c>
      <c r="AU417" s="55">
        <f t="shared" si="158"/>
        <v>0</v>
      </c>
      <c r="AV417" s="55">
        <f t="shared" si="158"/>
        <v>0</v>
      </c>
      <c r="AW417" s="55">
        <f t="shared" si="158"/>
        <v>0</v>
      </c>
      <c r="AX417" s="55">
        <f t="shared" si="158"/>
        <v>0</v>
      </c>
      <c r="AY417" s="55">
        <f t="shared" si="158"/>
        <v>0</v>
      </c>
      <c r="AZ417" s="55">
        <f t="shared" si="158"/>
        <v>0</v>
      </c>
      <c r="BA417" s="55">
        <f t="shared" si="158"/>
        <v>0</v>
      </c>
      <c r="BB417" s="55">
        <f t="shared" si="158"/>
        <v>0</v>
      </c>
      <c r="BC417" s="55">
        <f t="shared" si="158"/>
        <v>0</v>
      </c>
      <c r="BD417" s="55">
        <f t="shared" si="158"/>
        <v>0</v>
      </c>
      <c r="BE417" s="55">
        <f t="shared" si="158"/>
        <v>0</v>
      </c>
      <c r="BF417" s="55">
        <f t="shared" si="158"/>
        <v>0</v>
      </c>
      <c r="BG417" s="55">
        <f t="shared" si="158"/>
        <v>0</v>
      </c>
      <c r="BH417" s="55">
        <f t="shared" si="158"/>
        <v>0</v>
      </c>
      <c r="BI417" s="55">
        <f t="shared" si="158"/>
        <v>0</v>
      </c>
      <c r="BJ417" s="55">
        <f t="shared" si="158"/>
        <v>0</v>
      </c>
    </row>
    <row r="418" spans="1:62" ht="15.75" customHeight="1" x14ac:dyDescent="0.25">
      <c r="A418" s="62"/>
      <c r="B418" s="19">
        <v>0.625</v>
      </c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</row>
    <row r="419" spans="1:62" ht="15.75" customHeight="1" x14ac:dyDescent="0.25">
      <c r="A419" s="13"/>
      <c r="B419" s="13"/>
      <c r="C419" s="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</row>
    <row r="420" spans="1:62" ht="21" customHeight="1" x14ac:dyDescent="0.25">
      <c r="A420" s="61">
        <v>46</v>
      </c>
      <c r="B420" s="14" t="s">
        <v>132</v>
      </c>
      <c r="C420" s="15"/>
      <c r="D420" s="16">
        <v>0</v>
      </c>
      <c r="E420" s="16">
        <v>0</v>
      </c>
      <c r="F420" s="16">
        <v>0</v>
      </c>
      <c r="G420" s="17">
        <v>0</v>
      </c>
      <c r="H420" s="16">
        <v>0</v>
      </c>
      <c r="I420" s="16">
        <v>1</v>
      </c>
      <c r="J420" s="16">
        <v>1</v>
      </c>
      <c r="K420" s="16">
        <v>1</v>
      </c>
      <c r="L420" s="16">
        <v>0</v>
      </c>
      <c r="M420" s="16">
        <v>0</v>
      </c>
      <c r="N420" s="16">
        <v>0</v>
      </c>
      <c r="O420" s="16">
        <v>1</v>
      </c>
      <c r="P420" s="16">
        <v>0</v>
      </c>
      <c r="Q420" s="16">
        <v>0</v>
      </c>
      <c r="R420" s="17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1</v>
      </c>
      <c r="AA420" s="17">
        <v>0</v>
      </c>
      <c r="AB420" s="16">
        <v>0</v>
      </c>
      <c r="AC420" s="16">
        <v>0</v>
      </c>
      <c r="AD420" s="17">
        <v>0</v>
      </c>
      <c r="AE420" s="17">
        <v>0</v>
      </c>
      <c r="AF420" s="17">
        <v>0</v>
      </c>
      <c r="AG420" s="16">
        <v>0</v>
      </c>
      <c r="AH420" s="16">
        <v>0</v>
      </c>
      <c r="AI420" s="17">
        <v>1</v>
      </c>
      <c r="AJ420" s="16">
        <v>0</v>
      </c>
      <c r="AK420" s="16">
        <v>1</v>
      </c>
      <c r="AL420" s="16">
        <v>1</v>
      </c>
      <c r="AM420" s="16">
        <v>1</v>
      </c>
      <c r="AN420" s="16">
        <v>0</v>
      </c>
      <c r="AO420" s="16">
        <v>0</v>
      </c>
      <c r="AP420" s="17">
        <v>0</v>
      </c>
      <c r="AQ420" s="16">
        <v>0</v>
      </c>
      <c r="AR420" s="17">
        <v>1</v>
      </c>
      <c r="AS420" s="17">
        <v>1</v>
      </c>
      <c r="AT420" s="16">
        <v>0</v>
      </c>
      <c r="AU420" s="17">
        <v>0</v>
      </c>
      <c r="AV420" s="16">
        <v>1</v>
      </c>
      <c r="AW420" s="16">
        <v>0</v>
      </c>
      <c r="AX420" s="16">
        <v>1</v>
      </c>
      <c r="AY420" s="16">
        <v>0</v>
      </c>
      <c r="AZ420" s="16">
        <v>1</v>
      </c>
      <c r="BA420" s="16">
        <v>0</v>
      </c>
      <c r="BB420" s="16">
        <v>0</v>
      </c>
      <c r="BC420" s="17">
        <v>0</v>
      </c>
      <c r="BD420" s="16">
        <v>1</v>
      </c>
      <c r="BE420" s="17">
        <v>1</v>
      </c>
      <c r="BF420" s="17">
        <v>0</v>
      </c>
      <c r="BG420" s="16">
        <v>1</v>
      </c>
      <c r="BH420" s="17">
        <v>0</v>
      </c>
      <c r="BI420" s="16">
        <v>2</v>
      </c>
      <c r="BJ420" s="16">
        <v>0</v>
      </c>
    </row>
    <row r="421" spans="1:62" ht="20.25" customHeight="1" x14ac:dyDescent="0.25">
      <c r="A421" s="62"/>
      <c r="B421" s="14" t="s">
        <v>130</v>
      </c>
      <c r="C421" s="15"/>
      <c r="D421" s="16">
        <v>2</v>
      </c>
      <c r="E421" s="16">
        <v>2</v>
      </c>
      <c r="F421" s="16">
        <v>1</v>
      </c>
      <c r="G421" s="17">
        <v>2</v>
      </c>
      <c r="H421" s="16">
        <v>2</v>
      </c>
      <c r="I421" s="16">
        <v>4</v>
      </c>
      <c r="J421" s="16">
        <v>2</v>
      </c>
      <c r="K421" s="16">
        <v>3</v>
      </c>
      <c r="L421" s="16">
        <v>2</v>
      </c>
      <c r="M421" s="16">
        <v>2</v>
      </c>
      <c r="N421" s="16">
        <v>2</v>
      </c>
      <c r="O421" s="16">
        <v>2</v>
      </c>
      <c r="P421" s="16">
        <v>1</v>
      </c>
      <c r="Q421" s="16">
        <v>4</v>
      </c>
      <c r="R421" s="17">
        <v>2</v>
      </c>
      <c r="S421" s="16">
        <v>2</v>
      </c>
      <c r="T421" s="16">
        <v>2</v>
      </c>
      <c r="U421" s="16">
        <v>2</v>
      </c>
      <c r="V421" s="16">
        <v>2</v>
      </c>
      <c r="W421" s="16">
        <v>5</v>
      </c>
      <c r="X421" s="16">
        <v>2</v>
      </c>
      <c r="Y421" s="16">
        <v>2</v>
      </c>
      <c r="Z421" s="16">
        <v>1</v>
      </c>
      <c r="AA421" s="17">
        <v>3</v>
      </c>
      <c r="AB421" s="16">
        <v>2</v>
      </c>
      <c r="AC421" s="16">
        <v>2</v>
      </c>
      <c r="AD421" s="17">
        <v>1</v>
      </c>
      <c r="AE421" s="17">
        <v>2</v>
      </c>
      <c r="AF421" s="17">
        <v>1</v>
      </c>
      <c r="AG421" s="16">
        <v>2</v>
      </c>
      <c r="AH421" s="16">
        <v>3</v>
      </c>
      <c r="AI421" s="17">
        <v>2</v>
      </c>
      <c r="AJ421" s="16">
        <v>5</v>
      </c>
      <c r="AK421" s="16">
        <v>3</v>
      </c>
      <c r="AL421" s="16">
        <v>2</v>
      </c>
      <c r="AM421" s="16">
        <v>1</v>
      </c>
      <c r="AN421" s="16">
        <v>2</v>
      </c>
      <c r="AO421" s="16">
        <v>2</v>
      </c>
      <c r="AP421" s="17">
        <v>3</v>
      </c>
      <c r="AQ421" s="16">
        <v>2</v>
      </c>
      <c r="AR421" s="17">
        <v>3</v>
      </c>
      <c r="AS421" s="17">
        <v>3</v>
      </c>
      <c r="AT421" s="16">
        <v>3</v>
      </c>
      <c r="AU421" s="17">
        <v>2</v>
      </c>
      <c r="AV421" s="16">
        <v>2</v>
      </c>
      <c r="AW421" s="16">
        <v>1</v>
      </c>
      <c r="AX421" s="16">
        <v>2</v>
      </c>
      <c r="AY421" s="16">
        <v>2</v>
      </c>
      <c r="AZ421" s="16">
        <v>3</v>
      </c>
      <c r="BA421" s="16">
        <v>2</v>
      </c>
      <c r="BB421" s="16">
        <v>3</v>
      </c>
      <c r="BC421" s="17">
        <v>2</v>
      </c>
      <c r="BD421" s="16">
        <v>2</v>
      </c>
      <c r="BE421" s="17">
        <v>1</v>
      </c>
      <c r="BF421" s="17">
        <v>3</v>
      </c>
      <c r="BG421" s="16">
        <v>3</v>
      </c>
      <c r="BH421" s="17">
        <v>3</v>
      </c>
      <c r="BI421" s="16">
        <v>4</v>
      </c>
      <c r="BJ421" s="16">
        <v>3</v>
      </c>
    </row>
    <row r="422" spans="1:62" ht="15.75" customHeight="1" x14ac:dyDescent="0.25">
      <c r="A422" s="62"/>
      <c r="B422" s="18">
        <v>46196</v>
      </c>
      <c r="C422" s="60" t="s">
        <v>65</v>
      </c>
      <c r="D422" s="55">
        <f t="shared" ref="D422:BJ422" si="160">IF($C420="",0,IF(AND(D420=$C420,D421=$C421),5,IF(OR(AND(D420-D421&gt;0,$C420-$C421&gt;0),AND(D421-D420&gt;0,$C421-$C420&gt;0),AND(D420-D421=0,$C420-$C421=0)),2,0)+IF(OR(D420=$C420,D421=$C421),1,0)))</f>
        <v>0</v>
      </c>
      <c r="E422" s="55">
        <f t="shared" si="160"/>
        <v>0</v>
      </c>
      <c r="F422" s="55">
        <f t="shared" si="160"/>
        <v>0</v>
      </c>
      <c r="G422" s="55">
        <f t="shared" si="160"/>
        <v>0</v>
      </c>
      <c r="H422" s="55">
        <f t="shared" si="160"/>
        <v>0</v>
      </c>
      <c r="I422" s="55">
        <f t="shared" si="160"/>
        <v>0</v>
      </c>
      <c r="J422" s="55">
        <f t="shared" si="160"/>
        <v>0</v>
      </c>
      <c r="K422" s="55">
        <f t="shared" si="160"/>
        <v>0</v>
      </c>
      <c r="L422" s="55">
        <f t="shared" si="160"/>
        <v>0</v>
      </c>
      <c r="M422" s="55">
        <f t="shared" si="160"/>
        <v>0</v>
      </c>
      <c r="N422" s="55">
        <f t="shared" si="160"/>
        <v>0</v>
      </c>
      <c r="O422" s="55">
        <f t="shared" si="160"/>
        <v>0</v>
      </c>
      <c r="P422" s="55">
        <f t="shared" si="160"/>
        <v>0</v>
      </c>
      <c r="Q422" s="55">
        <f t="shared" si="160"/>
        <v>0</v>
      </c>
      <c r="R422" s="55">
        <f t="shared" si="160"/>
        <v>0</v>
      </c>
      <c r="S422" s="55">
        <f t="shared" si="160"/>
        <v>0</v>
      </c>
      <c r="T422" s="55">
        <f t="shared" si="160"/>
        <v>0</v>
      </c>
      <c r="U422" s="55">
        <f t="shared" si="160"/>
        <v>0</v>
      </c>
      <c r="V422" s="55">
        <f t="shared" si="160"/>
        <v>0</v>
      </c>
      <c r="W422" s="55">
        <f t="shared" si="160"/>
        <v>0</v>
      </c>
      <c r="X422" s="55">
        <f t="shared" si="160"/>
        <v>0</v>
      </c>
      <c r="Y422" s="55">
        <f t="shared" si="160"/>
        <v>0</v>
      </c>
      <c r="Z422" s="55">
        <f t="shared" si="160"/>
        <v>0</v>
      </c>
      <c r="AA422" s="55">
        <f t="shared" si="160"/>
        <v>0</v>
      </c>
      <c r="AB422" s="55">
        <f t="shared" si="160"/>
        <v>0</v>
      </c>
      <c r="AC422" s="55">
        <f t="shared" si="160"/>
        <v>0</v>
      </c>
      <c r="AD422" s="55">
        <f t="shared" si="160"/>
        <v>0</v>
      </c>
      <c r="AE422" s="55">
        <f t="shared" si="160"/>
        <v>0</v>
      </c>
      <c r="AF422" s="55">
        <f t="shared" si="160"/>
        <v>0</v>
      </c>
      <c r="AG422" s="55">
        <f t="shared" si="160"/>
        <v>0</v>
      </c>
      <c r="AH422" s="55">
        <f t="shared" si="160"/>
        <v>0</v>
      </c>
      <c r="AI422" s="55">
        <f t="shared" si="160"/>
        <v>0</v>
      </c>
      <c r="AJ422" s="55">
        <f t="shared" si="160"/>
        <v>0</v>
      </c>
      <c r="AK422" s="55">
        <f t="shared" si="160"/>
        <v>0</v>
      </c>
      <c r="AL422" s="55">
        <f t="shared" si="160"/>
        <v>0</v>
      </c>
      <c r="AM422" s="55">
        <f t="shared" si="160"/>
        <v>0</v>
      </c>
      <c r="AN422" s="55">
        <f t="shared" si="160"/>
        <v>0</v>
      </c>
      <c r="AO422" s="55">
        <f t="shared" si="160"/>
        <v>0</v>
      </c>
      <c r="AP422" s="55">
        <f t="shared" si="160"/>
        <v>0</v>
      </c>
      <c r="AQ422" s="55">
        <f t="shared" ref="AQ422" si="161">IF($C420="",0,IF(AND(AQ420=$C420,AQ421=$C421),5,IF(OR(AND(AQ420-AQ421&gt;0,$C420-$C421&gt;0),AND(AQ421-AQ420&gt;0,$C421-$C420&gt;0),AND(AQ420-AQ421=0,$C420-$C421=0)),2,0)+IF(OR(AQ420=$C420,AQ421=$C421),1,0)))</f>
        <v>0</v>
      </c>
      <c r="AR422" s="55">
        <f t="shared" si="160"/>
        <v>0</v>
      </c>
      <c r="AS422" s="55">
        <f t="shared" si="160"/>
        <v>0</v>
      </c>
      <c r="AT422" s="55">
        <f t="shared" si="160"/>
        <v>0</v>
      </c>
      <c r="AU422" s="55">
        <f t="shared" si="160"/>
        <v>0</v>
      </c>
      <c r="AV422" s="55">
        <f t="shared" si="160"/>
        <v>0</v>
      </c>
      <c r="AW422" s="55">
        <f t="shared" si="160"/>
        <v>0</v>
      </c>
      <c r="AX422" s="55">
        <f t="shared" si="160"/>
        <v>0</v>
      </c>
      <c r="AY422" s="55">
        <f t="shared" si="160"/>
        <v>0</v>
      </c>
      <c r="AZ422" s="55">
        <f t="shared" si="160"/>
        <v>0</v>
      </c>
      <c r="BA422" s="55">
        <f t="shared" si="160"/>
        <v>0</v>
      </c>
      <c r="BB422" s="55">
        <f t="shared" si="160"/>
        <v>0</v>
      </c>
      <c r="BC422" s="55">
        <f t="shared" si="160"/>
        <v>0</v>
      </c>
      <c r="BD422" s="55">
        <f t="shared" si="160"/>
        <v>0</v>
      </c>
      <c r="BE422" s="55">
        <f t="shared" si="160"/>
        <v>0</v>
      </c>
      <c r="BF422" s="55">
        <f t="shared" si="160"/>
        <v>0</v>
      </c>
      <c r="BG422" s="55">
        <f t="shared" si="160"/>
        <v>0</v>
      </c>
      <c r="BH422" s="55">
        <f t="shared" si="160"/>
        <v>0</v>
      </c>
      <c r="BI422" s="55">
        <f t="shared" si="160"/>
        <v>0</v>
      </c>
      <c r="BJ422" s="55">
        <f t="shared" si="160"/>
        <v>0</v>
      </c>
    </row>
    <row r="423" spans="1:62" ht="15.75" customHeight="1" x14ac:dyDescent="0.25">
      <c r="A423" s="62"/>
      <c r="B423" s="19">
        <v>0.75</v>
      </c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</row>
    <row r="424" spans="1:62" ht="15.75" customHeight="1" x14ac:dyDescent="0.25">
      <c r="A424" s="23"/>
    </row>
    <row r="425" spans="1:62" ht="23.25" customHeight="1" x14ac:dyDescent="0.25">
      <c r="A425" s="61">
        <v>67</v>
      </c>
      <c r="B425" s="14" t="s">
        <v>132</v>
      </c>
      <c r="C425" s="15"/>
      <c r="D425" s="16">
        <v>0</v>
      </c>
      <c r="E425" s="16">
        <v>0</v>
      </c>
      <c r="F425" s="16">
        <v>1</v>
      </c>
      <c r="G425" s="17">
        <v>0</v>
      </c>
      <c r="H425" s="16">
        <v>0</v>
      </c>
      <c r="I425" s="16">
        <v>1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1</v>
      </c>
      <c r="Q425" s="16">
        <v>0</v>
      </c>
      <c r="R425" s="17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7">
        <v>0</v>
      </c>
      <c r="AB425" s="16">
        <v>0</v>
      </c>
      <c r="AC425" s="16">
        <v>0</v>
      </c>
      <c r="AD425" s="17">
        <v>1</v>
      </c>
      <c r="AE425" s="17">
        <v>0</v>
      </c>
      <c r="AF425" s="17">
        <v>1</v>
      </c>
      <c r="AG425" s="16">
        <v>0</v>
      </c>
      <c r="AH425" s="16">
        <v>0</v>
      </c>
      <c r="AI425" s="17">
        <v>3</v>
      </c>
      <c r="AJ425" s="16">
        <v>1</v>
      </c>
      <c r="AK425" s="16">
        <v>0</v>
      </c>
      <c r="AL425" s="16">
        <v>1</v>
      </c>
      <c r="AM425" s="16">
        <v>0</v>
      </c>
      <c r="AN425" s="16">
        <v>0</v>
      </c>
      <c r="AO425" s="16">
        <v>0</v>
      </c>
      <c r="AP425" s="17">
        <v>1</v>
      </c>
      <c r="AQ425" s="16">
        <v>1</v>
      </c>
      <c r="AR425" s="17">
        <v>0</v>
      </c>
      <c r="AS425" s="17">
        <v>0</v>
      </c>
      <c r="AT425" s="16">
        <v>0</v>
      </c>
      <c r="AU425" s="17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7">
        <v>1</v>
      </c>
      <c r="BD425" s="16">
        <v>0</v>
      </c>
      <c r="BE425" s="17">
        <v>0</v>
      </c>
      <c r="BF425" s="17">
        <v>1</v>
      </c>
      <c r="BG425" s="16">
        <v>1</v>
      </c>
      <c r="BH425" s="17">
        <v>0</v>
      </c>
      <c r="BI425" s="16">
        <v>1</v>
      </c>
      <c r="BJ425" s="16">
        <v>0</v>
      </c>
    </row>
    <row r="426" spans="1:62" ht="23.25" customHeight="1" x14ac:dyDescent="0.25">
      <c r="A426" s="62"/>
      <c r="B426" s="14" t="s">
        <v>129</v>
      </c>
      <c r="C426" s="15"/>
      <c r="D426" s="16">
        <v>3</v>
      </c>
      <c r="E426" s="16">
        <v>5</v>
      </c>
      <c r="F426" s="16">
        <v>3</v>
      </c>
      <c r="G426" s="17">
        <v>3</v>
      </c>
      <c r="H426" s="16">
        <v>3</v>
      </c>
      <c r="I426" s="16">
        <v>6</v>
      </c>
      <c r="J426" s="16">
        <v>3</v>
      </c>
      <c r="K426" s="16">
        <v>5</v>
      </c>
      <c r="L426" s="16">
        <v>3</v>
      </c>
      <c r="M426" s="16">
        <v>3</v>
      </c>
      <c r="N426" s="16">
        <v>3</v>
      </c>
      <c r="O426" s="16">
        <v>3</v>
      </c>
      <c r="P426" s="16">
        <v>3</v>
      </c>
      <c r="Q426" s="16">
        <v>3</v>
      </c>
      <c r="R426" s="17">
        <v>3</v>
      </c>
      <c r="S426" s="16">
        <v>2</v>
      </c>
      <c r="T426" s="16">
        <v>2</v>
      </c>
      <c r="U426" s="16">
        <v>4</v>
      </c>
      <c r="V426" s="16">
        <v>3</v>
      </c>
      <c r="W426" s="16">
        <v>3</v>
      </c>
      <c r="X426" s="16">
        <v>3</v>
      </c>
      <c r="Y426" s="16">
        <v>3</v>
      </c>
      <c r="Z426" s="16">
        <v>3</v>
      </c>
      <c r="AA426" s="17">
        <v>4</v>
      </c>
      <c r="AB426" s="16">
        <v>3</v>
      </c>
      <c r="AC426" s="16">
        <v>2</v>
      </c>
      <c r="AD426" s="17">
        <v>2</v>
      </c>
      <c r="AE426" s="17">
        <v>3</v>
      </c>
      <c r="AF426" s="17">
        <v>2</v>
      </c>
      <c r="AG426" s="16">
        <v>3</v>
      </c>
      <c r="AH426" s="16">
        <v>3</v>
      </c>
      <c r="AI426" s="17">
        <v>1</v>
      </c>
      <c r="AJ426" s="16">
        <v>6</v>
      </c>
      <c r="AK426" s="16">
        <v>3</v>
      </c>
      <c r="AL426" s="16">
        <v>3</v>
      </c>
      <c r="AM426" s="16">
        <v>3</v>
      </c>
      <c r="AN426" s="16">
        <v>3</v>
      </c>
      <c r="AO426" s="16">
        <v>4</v>
      </c>
      <c r="AP426" s="17">
        <v>3</v>
      </c>
      <c r="AQ426" s="16">
        <v>3</v>
      </c>
      <c r="AR426" s="17">
        <v>3</v>
      </c>
      <c r="AS426" s="17">
        <v>3</v>
      </c>
      <c r="AT426" s="16">
        <v>3</v>
      </c>
      <c r="AU426" s="17">
        <v>2</v>
      </c>
      <c r="AV426" s="16">
        <v>2</v>
      </c>
      <c r="AW426" s="16">
        <v>3</v>
      </c>
      <c r="AX426" s="16">
        <v>3</v>
      </c>
      <c r="AY426" s="16">
        <v>3</v>
      </c>
      <c r="AZ426" s="16">
        <v>3</v>
      </c>
      <c r="BA426" s="16">
        <v>3</v>
      </c>
      <c r="BB426" s="16">
        <v>3</v>
      </c>
      <c r="BC426" s="17">
        <v>1</v>
      </c>
      <c r="BD426" s="16">
        <v>3</v>
      </c>
      <c r="BE426" s="17">
        <v>3</v>
      </c>
      <c r="BF426" s="17">
        <v>3</v>
      </c>
      <c r="BG426" s="16">
        <v>2</v>
      </c>
      <c r="BH426" s="17">
        <v>4</v>
      </c>
      <c r="BI426" s="16">
        <v>3</v>
      </c>
      <c r="BJ426" s="16">
        <v>3</v>
      </c>
    </row>
    <row r="427" spans="1:62" ht="15.75" customHeight="1" x14ac:dyDescent="0.25">
      <c r="A427" s="62"/>
      <c r="B427" s="18">
        <v>46200</v>
      </c>
      <c r="C427" s="60" t="s">
        <v>65</v>
      </c>
      <c r="D427" s="55">
        <f t="shared" ref="D427:BJ427" si="162">IF($C425="",0,IF(AND(D425=$C425,D426=$C426),5,IF(OR(AND(D425-D426&gt;0,$C425-$C426&gt;0),AND(D426-D425&gt;0,$C426-$C425&gt;0),AND(D425-D426=0,$C425-$C426=0)),2,0)+IF(OR(D425=$C425,D426=$C426),1,0)))</f>
        <v>0</v>
      </c>
      <c r="E427" s="55">
        <f t="shared" si="162"/>
        <v>0</v>
      </c>
      <c r="F427" s="55">
        <f t="shared" si="162"/>
        <v>0</v>
      </c>
      <c r="G427" s="55">
        <f t="shared" si="162"/>
        <v>0</v>
      </c>
      <c r="H427" s="55">
        <f t="shared" si="162"/>
        <v>0</v>
      </c>
      <c r="I427" s="55">
        <f t="shared" si="162"/>
        <v>0</v>
      </c>
      <c r="J427" s="55">
        <f t="shared" si="162"/>
        <v>0</v>
      </c>
      <c r="K427" s="55">
        <f t="shared" si="162"/>
        <v>0</v>
      </c>
      <c r="L427" s="55">
        <f t="shared" si="162"/>
        <v>0</v>
      </c>
      <c r="M427" s="55">
        <f t="shared" si="162"/>
        <v>0</v>
      </c>
      <c r="N427" s="55">
        <f t="shared" si="162"/>
        <v>0</v>
      </c>
      <c r="O427" s="55">
        <f t="shared" si="162"/>
        <v>0</v>
      </c>
      <c r="P427" s="55">
        <f t="shared" si="162"/>
        <v>0</v>
      </c>
      <c r="Q427" s="55">
        <f t="shared" si="162"/>
        <v>0</v>
      </c>
      <c r="R427" s="55">
        <f t="shared" si="162"/>
        <v>0</v>
      </c>
      <c r="S427" s="55">
        <f t="shared" si="162"/>
        <v>0</v>
      </c>
      <c r="T427" s="55">
        <f t="shared" si="162"/>
        <v>0</v>
      </c>
      <c r="U427" s="55">
        <f t="shared" si="162"/>
        <v>0</v>
      </c>
      <c r="V427" s="55">
        <f t="shared" si="162"/>
        <v>0</v>
      </c>
      <c r="W427" s="55">
        <f t="shared" si="162"/>
        <v>0</v>
      </c>
      <c r="X427" s="55">
        <f t="shared" si="162"/>
        <v>0</v>
      </c>
      <c r="Y427" s="55">
        <f t="shared" si="162"/>
        <v>0</v>
      </c>
      <c r="Z427" s="55">
        <f t="shared" si="162"/>
        <v>0</v>
      </c>
      <c r="AA427" s="55">
        <f t="shared" si="162"/>
        <v>0</v>
      </c>
      <c r="AB427" s="55">
        <f t="shared" si="162"/>
        <v>0</v>
      </c>
      <c r="AC427" s="55">
        <f t="shared" si="162"/>
        <v>0</v>
      </c>
      <c r="AD427" s="55">
        <f t="shared" si="162"/>
        <v>0</v>
      </c>
      <c r="AE427" s="55">
        <f t="shared" si="162"/>
        <v>0</v>
      </c>
      <c r="AF427" s="55">
        <f t="shared" si="162"/>
        <v>0</v>
      </c>
      <c r="AG427" s="55">
        <f t="shared" si="162"/>
        <v>0</v>
      </c>
      <c r="AH427" s="55">
        <f t="shared" si="162"/>
        <v>0</v>
      </c>
      <c r="AI427" s="55">
        <f t="shared" si="162"/>
        <v>0</v>
      </c>
      <c r="AJ427" s="55">
        <f t="shared" si="162"/>
        <v>0</v>
      </c>
      <c r="AK427" s="55">
        <f t="shared" si="162"/>
        <v>0</v>
      </c>
      <c r="AL427" s="55">
        <f t="shared" si="162"/>
        <v>0</v>
      </c>
      <c r="AM427" s="55">
        <f t="shared" si="162"/>
        <v>0</v>
      </c>
      <c r="AN427" s="55">
        <f t="shared" si="162"/>
        <v>0</v>
      </c>
      <c r="AO427" s="55">
        <f t="shared" si="162"/>
        <v>0</v>
      </c>
      <c r="AP427" s="55">
        <f t="shared" si="162"/>
        <v>0</v>
      </c>
      <c r="AQ427" s="55">
        <f t="shared" ref="AQ427" si="163">IF($C425="",0,IF(AND(AQ425=$C425,AQ426=$C426),5,IF(OR(AND(AQ425-AQ426&gt;0,$C425-$C426&gt;0),AND(AQ426-AQ425&gt;0,$C426-$C425&gt;0),AND(AQ425-AQ426=0,$C425-$C426=0)),2,0)+IF(OR(AQ425=$C425,AQ426=$C426),1,0)))</f>
        <v>0</v>
      </c>
      <c r="AR427" s="55">
        <f t="shared" si="162"/>
        <v>0</v>
      </c>
      <c r="AS427" s="55">
        <f t="shared" si="162"/>
        <v>0</v>
      </c>
      <c r="AT427" s="55">
        <f t="shared" si="162"/>
        <v>0</v>
      </c>
      <c r="AU427" s="55">
        <f t="shared" si="162"/>
        <v>0</v>
      </c>
      <c r="AV427" s="55">
        <f t="shared" si="162"/>
        <v>0</v>
      </c>
      <c r="AW427" s="55">
        <f t="shared" si="162"/>
        <v>0</v>
      </c>
      <c r="AX427" s="55">
        <f t="shared" si="162"/>
        <v>0</v>
      </c>
      <c r="AY427" s="55">
        <f t="shared" si="162"/>
        <v>0</v>
      </c>
      <c r="AZ427" s="55">
        <f t="shared" si="162"/>
        <v>0</v>
      </c>
      <c r="BA427" s="55">
        <f t="shared" si="162"/>
        <v>0</v>
      </c>
      <c r="BB427" s="55">
        <f t="shared" si="162"/>
        <v>0</v>
      </c>
      <c r="BC427" s="55">
        <f t="shared" si="162"/>
        <v>0</v>
      </c>
      <c r="BD427" s="55">
        <f t="shared" si="162"/>
        <v>0</v>
      </c>
      <c r="BE427" s="55">
        <f t="shared" si="162"/>
        <v>0</v>
      </c>
      <c r="BF427" s="55">
        <f t="shared" si="162"/>
        <v>0</v>
      </c>
      <c r="BG427" s="55">
        <f t="shared" si="162"/>
        <v>0</v>
      </c>
      <c r="BH427" s="55">
        <f t="shared" si="162"/>
        <v>0</v>
      </c>
      <c r="BI427" s="55">
        <f t="shared" si="162"/>
        <v>0</v>
      </c>
      <c r="BJ427" s="55">
        <f t="shared" si="162"/>
        <v>0</v>
      </c>
    </row>
    <row r="428" spans="1:62" ht="15.75" customHeight="1" x14ac:dyDescent="0.25">
      <c r="A428" s="62"/>
      <c r="B428" s="19">
        <v>0.66666666666666663</v>
      </c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</row>
    <row r="429" spans="1:62" ht="15.75" customHeight="1" x14ac:dyDescent="0.25">
      <c r="A429" s="23"/>
    </row>
    <row r="430" spans="1:62" ht="22.5" customHeight="1" x14ac:dyDescent="0.25">
      <c r="A430" s="61">
        <v>68</v>
      </c>
      <c r="B430" s="14" t="s">
        <v>130</v>
      </c>
      <c r="C430" s="15"/>
      <c r="D430" s="16">
        <v>1</v>
      </c>
      <c r="E430" s="16">
        <v>2</v>
      </c>
      <c r="F430" s="16">
        <v>2</v>
      </c>
      <c r="G430" s="17">
        <v>2</v>
      </c>
      <c r="H430" s="16">
        <v>1</v>
      </c>
      <c r="I430" s="16">
        <v>3</v>
      </c>
      <c r="J430" s="16">
        <v>2</v>
      </c>
      <c r="K430" s="16">
        <v>3</v>
      </c>
      <c r="L430" s="16">
        <v>1</v>
      </c>
      <c r="M430" s="16">
        <v>2</v>
      </c>
      <c r="N430" s="16">
        <v>1</v>
      </c>
      <c r="O430" s="16">
        <v>1</v>
      </c>
      <c r="P430" s="16">
        <v>1</v>
      </c>
      <c r="Q430" s="16">
        <v>3</v>
      </c>
      <c r="R430" s="17">
        <v>1</v>
      </c>
      <c r="S430" s="16">
        <v>1</v>
      </c>
      <c r="T430" s="16">
        <v>1</v>
      </c>
      <c r="U430" s="16">
        <v>1</v>
      </c>
      <c r="V430" s="16">
        <v>2</v>
      </c>
      <c r="W430" s="16">
        <v>3</v>
      </c>
      <c r="X430" s="16">
        <v>2</v>
      </c>
      <c r="Y430" s="16">
        <v>1</v>
      </c>
      <c r="Z430" s="16">
        <v>1</v>
      </c>
      <c r="AA430" s="17">
        <v>2</v>
      </c>
      <c r="AB430" s="16">
        <v>2</v>
      </c>
      <c r="AC430" s="16">
        <v>1</v>
      </c>
      <c r="AD430" s="17">
        <v>3</v>
      </c>
      <c r="AE430" s="17">
        <v>2</v>
      </c>
      <c r="AF430" s="17">
        <v>2</v>
      </c>
      <c r="AG430" s="16">
        <v>2</v>
      </c>
      <c r="AH430" s="16">
        <v>2</v>
      </c>
      <c r="AI430" s="17">
        <v>3</v>
      </c>
      <c r="AJ430" s="16">
        <v>3</v>
      </c>
      <c r="AK430" s="16">
        <v>3</v>
      </c>
      <c r="AL430" s="16">
        <v>2</v>
      </c>
      <c r="AM430" s="16">
        <v>2</v>
      </c>
      <c r="AN430" s="16">
        <v>1</v>
      </c>
      <c r="AO430" s="16">
        <v>2</v>
      </c>
      <c r="AP430" s="17">
        <v>2</v>
      </c>
      <c r="AQ430" s="16">
        <v>1</v>
      </c>
      <c r="AR430" s="17">
        <v>2</v>
      </c>
      <c r="AS430" s="17">
        <v>2</v>
      </c>
      <c r="AT430" s="16">
        <v>2</v>
      </c>
      <c r="AU430" s="17">
        <v>2</v>
      </c>
      <c r="AV430" s="16">
        <v>3</v>
      </c>
      <c r="AW430" s="16">
        <v>2</v>
      </c>
      <c r="AX430" s="16">
        <v>2</v>
      </c>
      <c r="AY430" s="16">
        <v>1</v>
      </c>
      <c r="AZ430" s="16">
        <v>1</v>
      </c>
      <c r="BA430" s="16">
        <v>2</v>
      </c>
      <c r="BB430" s="16">
        <v>2</v>
      </c>
      <c r="BC430" s="17">
        <v>1</v>
      </c>
      <c r="BD430" s="16">
        <v>2</v>
      </c>
      <c r="BE430" s="17">
        <v>3</v>
      </c>
      <c r="BF430" s="17">
        <v>2</v>
      </c>
      <c r="BG430" s="16">
        <v>2</v>
      </c>
      <c r="BH430" s="17">
        <v>2</v>
      </c>
      <c r="BI430" s="16">
        <v>3</v>
      </c>
      <c r="BJ430" s="16">
        <v>2</v>
      </c>
    </row>
    <row r="431" spans="1:62" ht="23.25" customHeight="1" x14ac:dyDescent="0.25">
      <c r="A431" s="62"/>
      <c r="B431" s="14" t="s">
        <v>131</v>
      </c>
      <c r="C431" s="15"/>
      <c r="D431" s="16">
        <v>0</v>
      </c>
      <c r="E431" s="16">
        <v>1</v>
      </c>
      <c r="F431" s="16">
        <v>0</v>
      </c>
      <c r="G431" s="17">
        <v>1</v>
      </c>
      <c r="H431" s="16">
        <v>0</v>
      </c>
      <c r="I431" s="16">
        <v>0</v>
      </c>
      <c r="J431" s="16">
        <v>1</v>
      </c>
      <c r="K431" s="16">
        <v>2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  <c r="R431" s="17">
        <v>0</v>
      </c>
      <c r="S431" s="16">
        <v>1</v>
      </c>
      <c r="T431" s="16">
        <v>1</v>
      </c>
      <c r="U431" s="16">
        <v>1</v>
      </c>
      <c r="V431" s="16">
        <v>1</v>
      </c>
      <c r="W431" s="16">
        <v>1</v>
      </c>
      <c r="X431" s="16">
        <v>1</v>
      </c>
      <c r="Y431" s="16">
        <v>1</v>
      </c>
      <c r="Z431" s="16">
        <v>2</v>
      </c>
      <c r="AA431" s="17">
        <v>2</v>
      </c>
      <c r="AB431" s="16">
        <v>1</v>
      </c>
      <c r="AC431" s="16">
        <v>1</v>
      </c>
      <c r="AD431" s="17">
        <v>1</v>
      </c>
      <c r="AE431" s="17">
        <v>1</v>
      </c>
      <c r="AF431" s="17">
        <v>1</v>
      </c>
      <c r="AG431" s="16">
        <v>1</v>
      </c>
      <c r="AH431" s="16">
        <v>1</v>
      </c>
      <c r="AI431" s="17">
        <v>2</v>
      </c>
      <c r="AJ431" s="16">
        <v>0</v>
      </c>
      <c r="AK431" s="16">
        <v>1</v>
      </c>
      <c r="AL431" s="16">
        <v>1</v>
      </c>
      <c r="AM431" s="16">
        <v>2</v>
      </c>
      <c r="AN431" s="16">
        <v>1</v>
      </c>
      <c r="AO431" s="16">
        <v>1</v>
      </c>
      <c r="AP431" s="17">
        <v>0</v>
      </c>
      <c r="AQ431" s="16">
        <v>0</v>
      </c>
      <c r="AR431" s="17">
        <v>1</v>
      </c>
      <c r="AS431" s="17">
        <v>1</v>
      </c>
      <c r="AT431" s="16">
        <v>0</v>
      </c>
      <c r="AU431" s="17">
        <v>0</v>
      </c>
      <c r="AV431" s="16">
        <v>1</v>
      </c>
      <c r="AW431" s="16">
        <v>1</v>
      </c>
      <c r="AX431" s="16">
        <v>0</v>
      </c>
      <c r="AY431" s="16">
        <v>1</v>
      </c>
      <c r="AZ431" s="16">
        <v>0</v>
      </c>
      <c r="BA431" s="16">
        <v>0</v>
      </c>
      <c r="BB431" s="16">
        <v>1</v>
      </c>
      <c r="BC431" s="17">
        <v>1</v>
      </c>
      <c r="BD431" s="16">
        <v>1</v>
      </c>
      <c r="BE431" s="17">
        <v>0</v>
      </c>
      <c r="BF431" s="17">
        <v>0</v>
      </c>
      <c r="BG431" s="16">
        <v>1</v>
      </c>
      <c r="BH431" s="17">
        <v>0</v>
      </c>
      <c r="BI431" s="16">
        <v>1</v>
      </c>
      <c r="BJ431" s="16">
        <v>0</v>
      </c>
    </row>
    <row r="432" spans="1:62" ht="15.75" customHeight="1" x14ac:dyDescent="0.25">
      <c r="A432" s="62"/>
      <c r="B432" s="18">
        <v>46200</v>
      </c>
      <c r="C432" s="60" t="s">
        <v>65</v>
      </c>
      <c r="D432" s="55">
        <f t="shared" ref="D432:BJ432" si="164">IF($C430="",0,IF(AND(D430=$C430,D431=$C431),5,IF(OR(AND(D430-D431&gt;0,$C430-$C431&gt;0),AND(D431-D430&gt;0,$C431-$C430&gt;0),AND(D430-D431=0,$C430-$C431=0)),2,0)+IF(OR(D430=$C430,D431=$C431),1,0)))</f>
        <v>0</v>
      </c>
      <c r="E432" s="55">
        <f t="shared" si="164"/>
        <v>0</v>
      </c>
      <c r="F432" s="55">
        <f t="shared" si="164"/>
        <v>0</v>
      </c>
      <c r="G432" s="55">
        <f t="shared" si="164"/>
        <v>0</v>
      </c>
      <c r="H432" s="55">
        <f t="shared" si="164"/>
        <v>0</v>
      </c>
      <c r="I432" s="55">
        <f t="shared" si="164"/>
        <v>0</v>
      </c>
      <c r="J432" s="55">
        <f t="shared" si="164"/>
        <v>0</v>
      </c>
      <c r="K432" s="55">
        <f t="shared" si="164"/>
        <v>0</v>
      </c>
      <c r="L432" s="55">
        <f t="shared" si="164"/>
        <v>0</v>
      </c>
      <c r="M432" s="55">
        <f t="shared" si="164"/>
        <v>0</v>
      </c>
      <c r="N432" s="55">
        <f t="shared" si="164"/>
        <v>0</v>
      </c>
      <c r="O432" s="55">
        <f t="shared" si="164"/>
        <v>0</v>
      </c>
      <c r="P432" s="55">
        <f t="shared" si="164"/>
        <v>0</v>
      </c>
      <c r="Q432" s="55">
        <f t="shared" si="164"/>
        <v>0</v>
      </c>
      <c r="R432" s="55">
        <f t="shared" si="164"/>
        <v>0</v>
      </c>
      <c r="S432" s="55">
        <f t="shared" si="164"/>
        <v>0</v>
      </c>
      <c r="T432" s="55">
        <f t="shared" si="164"/>
        <v>0</v>
      </c>
      <c r="U432" s="55">
        <f t="shared" si="164"/>
        <v>0</v>
      </c>
      <c r="V432" s="55">
        <f t="shared" si="164"/>
        <v>0</v>
      </c>
      <c r="W432" s="55">
        <f t="shared" si="164"/>
        <v>0</v>
      </c>
      <c r="X432" s="55">
        <f t="shared" si="164"/>
        <v>0</v>
      </c>
      <c r="Y432" s="55">
        <f t="shared" si="164"/>
        <v>0</v>
      </c>
      <c r="Z432" s="55">
        <f t="shared" si="164"/>
        <v>0</v>
      </c>
      <c r="AA432" s="55">
        <f t="shared" si="164"/>
        <v>0</v>
      </c>
      <c r="AB432" s="55">
        <f t="shared" si="164"/>
        <v>0</v>
      </c>
      <c r="AC432" s="55">
        <f t="shared" si="164"/>
        <v>0</v>
      </c>
      <c r="AD432" s="55">
        <f t="shared" si="164"/>
        <v>0</v>
      </c>
      <c r="AE432" s="55">
        <f t="shared" si="164"/>
        <v>0</v>
      </c>
      <c r="AF432" s="55">
        <f t="shared" si="164"/>
        <v>0</v>
      </c>
      <c r="AG432" s="55">
        <f t="shared" si="164"/>
        <v>0</v>
      </c>
      <c r="AH432" s="55">
        <f t="shared" si="164"/>
        <v>0</v>
      </c>
      <c r="AI432" s="55">
        <f t="shared" si="164"/>
        <v>0</v>
      </c>
      <c r="AJ432" s="55">
        <f t="shared" si="164"/>
        <v>0</v>
      </c>
      <c r="AK432" s="55">
        <f t="shared" si="164"/>
        <v>0</v>
      </c>
      <c r="AL432" s="55">
        <f t="shared" si="164"/>
        <v>0</v>
      </c>
      <c r="AM432" s="55">
        <f t="shared" si="164"/>
        <v>0</v>
      </c>
      <c r="AN432" s="55">
        <f t="shared" si="164"/>
        <v>0</v>
      </c>
      <c r="AO432" s="55">
        <f t="shared" si="164"/>
        <v>0</v>
      </c>
      <c r="AP432" s="55">
        <f t="shared" si="164"/>
        <v>0</v>
      </c>
      <c r="AQ432" s="55">
        <f t="shared" ref="AQ432" si="165">IF($C430="",0,IF(AND(AQ430=$C430,AQ431=$C431),5,IF(OR(AND(AQ430-AQ431&gt;0,$C430-$C431&gt;0),AND(AQ431-AQ430&gt;0,$C431-$C430&gt;0),AND(AQ430-AQ431=0,$C430-$C431=0)),2,0)+IF(OR(AQ430=$C430,AQ431=$C431),1,0)))</f>
        <v>0</v>
      </c>
      <c r="AR432" s="55">
        <f t="shared" si="164"/>
        <v>0</v>
      </c>
      <c r="AS432" s="55">
        <f t="shared" si="164"/>
        <v>0</v>
      </c>
      <c r="AT432" s="55">
        <f t="shared" si="164"/>
        <v>0</v>
      </c>
      <c r="AU432" s="55">
        <f t="shared" si="164"/>
        <v>0</v>
      </c>
      <c r="AV432" s="55">
        <f t="shared" si="164"/>
        <v>0</v>
      </c>
      <c r="AW432" s="55">
        <f t="shared" si="164"/>
        <v>0</v>
      </c>
      <c r="AX432" s="55">
        <f t="shared" si="164"/>
        <v>0</v>
      </c>
      <c r="AY432" s="55">
        <f t="shared" si="164"/>
        <v>0</v>
      </c>
      <c r="AZ432" s="55">
        <f t="shared" si="164"/>
        <v>0</v>
      </c>
      <c r="BA432" s="55">
        <f t="shared" si="164"/>
        <v>0</v>
      </c>
      <c r="BB432" s="55">
        <f t="shared" si="164"/>
        <v>0</v>
      </c>
      <c r="BC432" s="55">
        <f t="shared" si="164"/>
        <v>0</v>
      </c>
      <c r="BD432" s="55">
        <f t="shared" si="164"/>
        <v>0</v>
      </c>
      <c r="BE432" s="55">
        <f t="shared" si="164"/>
        <v>0</v>
      </c>
      <c r="BF432" s="55">
        <f t="shared" si="164"/>
        <v>0</v>
      </c>
      <c r="BG432" s="55">
        <f t="shared" si="164"/>
        <v>0</v>
      </c>
      <c r="BH432" s="55">
        <f t="shared" si="164"/>
        <v>0</v>
      </c>
      <c r="BI432" s="55">
        <f t="shared" si="164"/>
        <v>0</v>
      </c>
      <c r="BJ432" s="55">
        <f t="shared" si="164"/>
        <v>0</v>
      </c>
    </row>
    <row r="433" spans="1:62" ht="15.75" customHeight="1" x14ac:dyDescent="0.25">
      <c r="A433" s="62"/>
      <c r="B433" s="19">
        <v>0.66666666666666663</v>
      </c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</row>
    <row r="434" spans="1:62" ht="15.75" customHeight="1" x14ac:dyDescent="0.25"/>
    <row r="435" spans="1:62" ht="15.75" customHeight="1" x14ac:dyDescent="0.25">
      <c r="C435" s="19" t="s">
        <v>133</v>
      </c>
      <c r="D435" s="25">
        <f t="shared" ref="D435:BJ435" si="166">D11+D16+D21+D26+D31+D36+D47+D52+D57+D62+D67+D72+D83+D88+D93+D98+D103+D108+D119+D124+D129+D134+D139+D144+D155+D160+D165+D170+D175+D180+D191+D196+D201+D206+D211+D216+D227+D232+D237+D242+D247+D252+D263+D268+D273+D278+D283+D288+D299+D304+D309+D314+D319+D324+D335+D340+D345+D350+D355+D360+D371+D376+D381+D386+D391+D396+D407+D412+D417+D422+D427+D432</f>
        <v>0</v>
      </c>
      <c r="E435" s="25">
        <f t="shared" si="166"/>
        <v>0</v>
      </c>
      <c r="F435" s="25">
        <f t="shared" si="166"/>
        <v>0</v>
      </c>
      <c r="G435" s="25">
        <f t="shared" si="166"/>
        <v>0</v>
      </c>
      <c r="H435" s="25">
        <f t="shared" si="166"/>
        <v>0</v>
      </c>
      <c r="I435" s="25">
        <f t="shared" si="166"/>
        <v>0</v>
      </c>
      <c r="J435" s="25">
        <f t="shared" si="166"/>
        <v>0</v>
      </c>
      <c r="K435" s="25">
        <f t="shared" si="166"/>
        <v>0</v>
      </c>
      <c r="L435" s="25">
        <f t="shared" si="166"/>
        <v>0</v>
      </c>
      <c r="M435" s="25">
        <f t="shared" si="166"/>
        <v>0</v>
      </c>
      <c r="N435" s="25">
        <f t="shared" si="166"/>
        <v>0</v>
      </c>
      <c r="O435" s="25">
        <f t="shared" si="166"/>
        <v>0</v>
      </c>
      <c r="P435" s="25">
        <f t="shared" si="166"/>
        <v>0</v>
      </c>
      <c r="Q435" s="25">
        <f t="shared" si="166"/>
        <v>0</v>
      </c>
      <c r="R435" s="25">
        <f t="shared" si="166"/>
        <v>0</v>
      </c>
      <c r="S435" s="25">
        <f t="shared" si="166"/>
        <v>0</v>
      </c>
      <c r="T435" s="25">
        <f t="shared" si="166"/>
        <v>0</v>
      </c>
      <c r="U435" s="25">
        <f t="shared" si="166"/>
        <v>0</v>
      </c>
      <c r="V435" s="25">
        <f t="shared" si="166"/>
        <v>0</v>
      </c>
      <c r="W435" s="25">
        <f t="shared" si="166"/>
        <v>0</v>
      </c>
      <c r="X435" s="25">
        <f t="shared" si="166"/>
        <v>0</v>
      </c>
      <c r="Y435" s="25">
        <f t="shared" si="166"/>
        <v>0</v>
      </c>
      <c r="Z435" s="25">
        <f t="shared" si="166"/>
        <v>0</v>
      </c>
      <c r="AA435" s="25">
        <f t="shared" si="166"/>
        <v>0</v>
      </c>
      <c r="AB435" s="25">
        <f t="shared" si="166"/>
        <v>0</v>
      </c>
      <c r="AC435" s="25">
        <f t="shared" si="166"/>
        <v>0</v>
      </c>
      <c r="AD435" s="25">
        <f t="shared" si="166"/>
        <v>0</v>
      </c>
      <c r="AE435" s="25">
        <f t="shared" si="166"/>
        <v>0</v>
      </c>
      <c r="AF435" s="25">
        <f t="shared" si="166"/>
        <v>0</v>
      </c>
      <c r="AG435" s="25">
        <f t="shared" si="166"/>
        <v>0</v>
      </c>
      <c r="AH435" s="25">
        <f t="shared" si="166"/>
        <v>0</v>
      </c>
      <c r="AI435" s="25">
        <f t="shared" si="166"/>
        <v>0</v>
      </c>
      <c r="AJ435" s="25">
        <f t="shared" si="166"/>
        <v>0</v>
      </c>
      <c r="AK435" s="25">
        <f t="shared" si="166"/>
        <v>0</v>
      </c>
      <c r="AL435" s="25">
        <f t="shared" si="166"/>
        <v>0</v>
      </c>
      <c r="AM435" s="25">
        <f t="shared" si="166"/>
        <v>0</v>
      </c>
      <c r="AN435" s="25">
        <f t="shared" si="166"/>
        <v>0</v>
      </c>
      <c r="AO435" s="25">
        <f t="shared" si="166"/>
        <v>0</v>
      </c>
      <c r="AP435" s="25">
        <f t="shared" si="166"/>
        <v>0</v>
      </c>
      <c r="AQ435" s="25">
        <f t="shared" ref="AQ435" si="167">AQ11+AQ16+AQ21+AQ26+AQ31+AQ36+AQ47+AQ52+AQ57+AQ62+AQ67+AQ72+AQ83+AQ88+AQ93+AQ98+AQ103+AQ108+AQ119+AQ124+AQ129+AQ134+AQ139+AQ144+AQ155+AQ160+AQ165+AQ170+AQ175+AQ180+AQ191+AQ196+AQ201+AQ206+AQ211+AQ216+AQ227+AQ232+AQ237+AQ242+AQ247+AQ252+AQ263+AQ268+AQ273+AQ278+AQ283+AQ288+AQ299+AQ304+AQ309+AQ314+AQ319+AQ324+AQ335+AQ340+AQ345+AQ350+AQ355+AQ360+AQ371+AQ376+AQ381+AQ386+AQ391+AQ396+AQ407+AQ412+AQ417+AQ422+AQ427+AQ432</f>
        <v>0</v>
      </c>
      <c r="AR435" s="25">
        <f t="shared" si="166"/>
        <v>0</v>
      </c>
      <c r="AS435" s="25">
        <f t="shared" si="166"/>
        <v>0</v>
      </c>
      <c r="AT435" s="25">
        <f t="shared" si="166"/>
        <v>0</v>
      </c>
      <c r="AU435" s="25">
        <f t="shared" si="166"/>
        <v>0</v>
      </c>
      <c r="AV435" s="25">
        <f t="shared" si="166"/>
        <v>0</v>
      </c>
      <c r="AW435" s="25">
        <f t="shared" si="166"/>
        <v>0</v>
      </c>
      <c r="AX435" s="25">
        <f t="shared" si="166"/>
        <v>0</v>
      </c>
      <c r="AY435" s="25">
        <f t="shared" si="166"/>
        <v>0</v>
      </c>
      <c r="AZ435" s="25">
        <f t="shared" si="166"/>
        <v>0</v>
      </c>
      <c r="BA435" s="25">
        <f t="shared" si="166"/>
        <v>0</v>
      </c>
      <c r="BB435" s="25">
        <f t="shared" si="166"/>
        <v>0</v>
      </c>
      <c r="BC435" s="25">
        <f t="shared" si="166"/>
        <v>0</v>
      </c>
      <c r="BD435" s="25">
        <f t="shared" si="166"/>
        <v>0</v>
      </c>
      <c r="BE435" s="25">
        <f t="shared" si="166"/>
        <v>0</v>
      </c>
      <c r="BF435" s="25">
        <f t="shared" si="166"/>
        <v>0</v>
      </c>
      <c r="BG435" s="25">
        <f t="shared" si="166"/>
        <v>0</v>
      </c>
      <c r="BH435" s="25">
        <f t="shared" si="166"/>
        <v>0</v>
      </c>
      <c r="BI435" s="25">
        <f t="shared" si="166"/>
        <v>0</v>
      </c>
      <c r="BJ435" s="25">
        <f t="shared" si="166"/>
        <v>0</v>
      </c>
    </row>
  </sheetData>
  <mergeCells count="4406">
    <mergeCell ref="K62:K63"/>
    <mergeCell ref="L62:L63"/>
    <mergeCell ref="M62:M63"/>
    <mergeCell ref="N62:N63"/>
    <mergeCell ref="O62:O63"/>
    <mergeCell ref="P62:P63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AP83:AP84"/>
    <mergeCell ref="AQ83:AQ84"/>
    <mergeCell ref="AR83:AR84"/>
    <mergeCell ref="AS83:AS84"/>
    <mergeCell ref="AT83:AT84"/>
    <mergeCell ref="AU83:AU84"/>
    <mergeCell ref="BC83:BC84"/>
    <mergeCell ref="BD83:BD84"/>
    <mergeCell ref="BE83:BE84"/>
    <mergeCell ref="BF83:BF84"/>
    <mergeCell ref="BG83:BG84"/>
    <mergeCell ref="BH83:BH84"/>
    <mergeCell ref="AB67:AB68"/>
    <mergeCell ref="AC67:AC68"/>
    <mergeCell ref="AD67:AD68"/>
    <mergeCell ref="AE67:AE68"/>
    <mergeCell ref="AF67:AF68"/>
    <mergeCell ref="AE83:AE84"/>
    <mergeCell ref="AF83:AF84"/>
    <mergeCell ref="AG83:AG84"/>
    <mergeCell ref="AH83:AH84"/>
    <mergeCell ref="AI83:AI84"/>
    <mergeCell ref="AJ83:AJ84"/>
    <mergeCell ref="AK83:AK84"/>
    <mergeCell ref="AL83:AL84"/>
    <mergeCell ref="AM83:AM84"/>
    <mergeCell ref="AN83:AN84"/>
    <mergeCell ref="AG67:AG68"/>
    <mergeCell ref="AJ67:AJ68"/>
    <mergeCell ref="AK67:AK68"/>
    <mergeCell ref="AL67:AL68"/>
    <mergeCell ref="AM67:AM68"/>
    <mergeCell ref="P88:P89"/>
    <mergeCell ref="Q88:Q89"/>
    <mergeCell ref="R88:R89"/>
    <mergeCell ref="S88:S89"/>
    <mergeCell ref="V88:V89"/>
    <mergeCell ref="W88:W89"/>
    <mergeCell ref="X88:X89"/>
    <mergeCell ref="Y88:Y89"/>
    <mergeCell ref="Z88:Z89"/>
    <mergeCell ref="AA88:AA89"/>
    <mergeCell ref="AB88:AB89"/>
    <mergeCell ref="AE88:AE89"/>
    <mergeCell ref="AF88:AF89"/>
    <mergeCell ref="AG88:AG89"/>
    <mergeCell ref="AH88:AH89"/>
    <mergeCell ref="AI88:AI89"/>
    <mergeCell ref="AO83:AO84"/>
    <mergeCell ref="BG93:BG94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BI83:BI84"/>
    <mergeCell ref="BJ83:BJ84"/>
    <mergeCell ref="AV83:AV84"/>
    <mergeCell ref="AW83:AW84"/>
    <mergeCell ref="AX83:AX84"/>
    <mergeCell ref="AY83:AY84"/>
    <mergeCell ref="AZ83:AZ84"/>
    <mergeCell ref="BA83:BA84"/>
    <mergeCell ref="BB83:BB84"/>
    <mergeCell ref="AW88:AW89"/>
    <mergeCell ref="AX88:AX89"/>
    <mergeCell ref="AY88:AY89"/>
    <mergeCell ref="AZ88:AZ89"/>
    <mergeCell ref="BH88:BH89"/>
    <mergeCell ref="BI88:BI89"/>
    <mergeCell ref="BJ88:BJ89"/>
    <mergeCell ref="BA88:BA89"/>
    <mergeCell ref="BB88:BB89"/>
    <mergeCell ref="BC88:BC89"/>
    <mergeCell ref="BD88:BD89"/>
    <mergeCell ref="BE88:BE89"/>
    <mergeCell ref="AL93:AL94"/>
    <mergeCell ref="AM93:AM94"/>
    <mergeCell ref="AN93:AN94"/>
    <mergeCell ref="AO93:AO94"/>
    <mergeCell ref="AP93:AP94"/>
    <mergeCell ref="AJ88:AJ89"/>
    <mergeCell ref="AK88:AK89"/>
    <mergeCell ref="AL88:AL89"/>
    <mergeCell ref="AQ93:AQ94"/>
    <mergeCell ref="AR93:AR94"/>
    <mergeCell ref="AS93:AS94"/>
    <mergeCell ref="AT93:AT94"/>
    <mergeCell ref="AU93:AU94"/>
    <mergeCell ref="AV93:AV94"/>
    <mergeCell ref="AW93:AW94"/>
    <mergeCell ref="BE93:BE94"/>
    <mergeCell ref="BF93:BF94"/>
    <mergeCell ref="BF88:BF89"/>
    <mergeCell ref="BH93:BH94"/>
    <mergeCell ref="BI93:BI94"/>
    <mergeCell ref="BJ93:BJ94"/>
    <mergeCell ref="AX93:AX94"/>
    <mergeCell ref="AY93:AY94"/>
    <mergeCell ref="AZ93:AZ94"/>
    <mergeCell ref="BA93:BA94"/>
    <mergeCell ref="BB93:BB94"/>
    <mergeCell ref="BC93:BC94"/>
    <mergeCell ref="BD93:BD94"/>
    <mergeCell ref="A91:A94"/>
    <mergeCell ref="D93:D94"/>
    <mergeCell ref="E93:E94"/>
    <mergeCell ref="F93:F94"/>
    <mergeCell ref="G93:G94"/>
    <mergeCell ref="H93:H94"/>
    <mergeCell ref="A96:A99"/>
    <mergeCell ref="H98:H99"/>
    <mergeCell ref="N98:N99"/>
    <mergeCell ref="O98:O99"/>
    <mergeCell ref="P98:P99"/>
    <mergeCell ref="Q98:Q99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AL98:AL99"/>
    <mergeCell ref="C93:C94"/>
    <mergeCell ref="C98:C99"/>
    <mergeCell ref="F98:F99"/>
    <mergeCell ref="G98:G99"/>
    <mergeCell ref="R93:R94"/>
    <mergeCell ref="S93:S94"/>
    <mergeCell ref="T93:T94"/>
    <mergeCell ref="U93:U94"/>
    <mergeCell ref="V93:V94"/>
    <mergeCell ref="W93:W94"/>
    <mergeCell ref="X93:X94"/>
    <mergeCell ref="Y93:Y94"/>
    <mergeCell ref="Z93:Z94"/>
    <mergeCell ref="AA93:AA94"/>
    <mergeCell ref="D98:D99"/>
    <mergeCell ref="E98:E99"/>
    <mergeCell ref="I98:I99"/>
    <mergeCell ref="J98:J99"/>
    <mergeCell ref="K98:K99"/>
    <mergeCell ref="BH98:BH99"/>
    <mergeCell ref="BI98:BI99"/>
    <mergeCell ref="BJ98:BJ99"/>
    <mergeCell ref="BA98:BA99"/>
    <mergeCell ref="BB98:BB99"/>
    <mergeCell ref="BC98:BC99"/>
    <mergeCell ref="BD98:BD99"/>
    <mergeCell ref="BE98:BE99"/>
    <mergeCell ref="BF98:BF99"/>
    <mergeCell ref="BG98:BG99"/>
    <mergeCell ref="T98:T99"/>
    <mergeCell ref="U98:U99"/>
    <mergeCell ref="AE98:AE99"/>
    <mergeCell ref="AF98:AF99"/>
    <mergeCell ref="AG98:AG99"/>
    <mergeCell ref="AH98:AH99"/>
    <mergeCell ref="AI98:AI99"/>
    <mergeCell ref="AJ98:AJ99"/>
    <mergeCell ref="AK98:AK99"/>
    <mergeCell ref="AM98:AM99"/>
    <mergeCell ref="AN98:AN99"/>
    <mergeCell ref="AO98:AO99"/>
    <mergeCell ref="AP98:AP99"/>
    <mergeCell ref="AB98:AB99"/>
    <mergeCell ref="AC98:AC99"/>
    <mergeCell ref="AD98:AD99"/>
    <mergeCell ref="V98:V99"/>
    <mergeCell ref="W98:W99"/>
    <mergeCell ref="X98:X99"/>
    <mergeCell ref="Y98:Y99"/>
    <mergeCell ref="Z98:Z99"/>
    <mergeCell ref="AA98:AA99"/>
    <mergeCell ref="I88:I89"/>
    <mergeCell ref="J88:J89"/>
    <mergeCell ref="K88:K89"/>
    <mergeCell ref="L88:L89"/>
    <mergeCell ref="M88:M89"/>
    <mergeCell ref="AC88:AC89"/>
    <mergeCell ref="AD88:AD89"/>
    <mergeCell ref="Z83:Z84"/>
    <mergeCell ref="AA83:AA84"/>
    <mergeCell ref="AB83:AB84"/>
    <mergeCell ref="AC83:AC84"/>
    <mergeCell ref="AD83:AD84"/>
    <mergeCell ref="G83:G84"/>
    <mergeCell ref="H83:H84"/>
    <mergeCell ref="I83:I84"/>
    <mergeCell ref="J83:J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T88:T89"/>
    <mergeCell ref="U88:U89"/>
    <mergeCell ref="N88:N89"/>
    <mergeCell ref="O88:O89"/>
    <mergeCell ref="A65:A68"/>
    <mergeCell ref="D67:D68"/>
    <mergeCell ref="E67:E68"/>
    <mergeCell ref="F67:F68"/>
    <mergeCell ref="G67:G68"/>
    <mergeCell ref="H67:H68"/>
    <mergeCell ref="A70:A73"/>
    <mergeCell ref="H72:H73"/>
    <mergeCell ref="F88:F89"/>
    <mergeCell ref="G88:G89"/>
    <mergeCell ref="H88:H89"/>
    <mergeCell ref="C67:C68"/>
    <mergeCell ref="C72:C73"/>
    <mergeCell ref="A81:A84"/>
    <mergeCell ref="D83:D84"/>
    <mergeCell ref="E83:E84"/>
    <mergeCell ref="F83:F84"/>
    <mergeCell ref="A86:A89"/>
    <mergeCell ref="D72:D73"/>
    <mergeCell ref="E72:E73"/>
    <mergeCell ref="C83:C84"/>
    <mergeCell ref="C88:C89"/>
    <mergeCell ref="D88:D89"/>
    <mergeCell ref="E88:E89"/>
    <mergeCell ref="F72:F73"/>
    <mergeCell ref="G72:G73"/>
    <mergeCell ref="L98:L99"/>
    <mergeCell ref="M98:M99"/>
    <mergeCell ref="R98:R99"/>
    <mergeCell ref="S98:S99"/>
    <mergeCell ref="AR103:AR104"/>
    <mergeCell ref="AS103:AS104"/>
    <mergeCell ref="AT103:AT104"/>
    <mergeCell ref="AU103:AU104"/>
    <mergeCell ref="AV103:AV104"/>
    <mergeCell ref="AW103:AW104"/>
    <mergeCell ref="BE103:BE104"/>
    <mergeCell ref="BF103:BF104"/>
    <mergeCell ref="BG103:BG104"/>
    <mergeCell ref="BH103:BH104"/>
    <mergeCell ref="BI103:BI104"/>
    <mergeCell ref="BJ103:BJ104"/>
    <mergeCell ref="AX103:AX104"/>
    <mergeCell ref="AY103:AY104"/>
    <mergeCell ref="AZ103:AZ104"/>
    <mergeCell ref="BA103:BA104"/>
    <mergeCell ref="BB103:BB104"/>
    <mergeCell ref="BC103:BC104"/>
    <mergeCell ref="BD103:BD104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T108:AT109"/>
    <mergeCell ref="AU108:AU109"/>
    <mergeCell ref="A113:BJ113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AV108:AV109"/>
    <mergeCell ref="AW108:AW109"/>
    <mergeCell ref="AX108:AX109"/>
    <mergeCell ref="AY108:AY109"/>
    <mergeCell ref="AZ108:AZ109"/>
    <mergeCell ref="BA108:BA109"/>
    <mergeCell ref="BB108:BB109"/>
    <mergeCell ref="AK119:AK120"/>
    <mergeCell ref="AL119:AL120"/>
    <mergeCell ref="AM119:AM120"/>
    <mergeCell ref="AN119:AN120"/>
    <mergeCell ref="AO119:AO120"/>
    <mergeCell ref="AP119:AP120"/>
    <mergeCell ref="AQ119:AQ120"/>
    <mergeCell ref="AR119:AR120"/>
    <mergeCell ref="V108:V109"/>
    <mergeCell ref="W108:W109"/>
    <mergeCell ref="X108:X109"/>
    <mergeCell ref="Y108:Y109"/>
    <mergeCell ref="Z108:Z109"/>
    <mergeCell ref="AA108:AA109"/>
    <mergeCell ref="AB108:AB109"/>
    <mergeCell ref="AR108:AR109"/>
    <mergeCell ref="AS108:AS109"/>
    <mergeCell ref="AS119:AS120"/>
    <mergeCell ref="AK108:AK109"/>
    <mergeCell ref="AL108:AL109"/>
    <mergeCell ref="AM108:AM109"/>
    <mergeCell ref="AN108:AN109"/>
    <mergeCell ref="AO108:AO109"/>
    <mergeCell ref="AP108:AP109"/>
    <mergeCell ref="AT119:AT120"/>
    <mergeCell ref="AU119:AU120"/>
    <mergeCell ref="BC119:BC120"/>
    <mergeCell ref="BD119:BD120"/>
    <mergeCell ref="BE119:BE120"/>
    <mergeCell ref="BF119:BF120"/>
    <mergeCell ref="BG119:BG120"/>
    <mergeCell ref="BH119:BH120"/>
    <mergeCell ref="BI119:BI120"/>
    <mergeCell ref="BJ119:BJ120"/>
    <mergeCell ref="AV119:AV120"/>
    <mergeCell ref="AW119:AW120"/>
    <mergeCell ref="AX119:AX120"/>
    <mergeCell ref="AY119:AY120"/>
    <mergeCell ref="AZ119:AZ120"/>
    <mergeCell ref="BA119:BA120"/>
    <mergeCell ref="BB119:BB120"/>
    <mergeCell ref="AZ124:AZ125"/>
    <mergeCell ref="BA124:BA125"/>
    <mergeCell ref="BI124:BI125"/>
    <mergeCell ref="BJ124:BJ125"/>
    <mergeCell ref="BB124:BB125"/>
    <mergeCell ref="BC124:BC125"/>
    <mergeCell ref="BD124:BD125"/>
    <mergeCell ref="BE124:BE125"/>
    <mergeCell ref="BF124:BF125"/>
    <mergeCell ref="BG124:BG125"/>
    <mergeCell ref="BH124:BH125"/>
    <mergeCell ref="A101:A104"/>
    <mergeCell ref="D103:D104"/>
    <mergeCell ref="E103:E104"/>
    <mergeCell ref="F103:F104"/>
    <mergeCell ref="G103:G104"/>
    <mergeCell ref="H103:H104"/>
    <mergeCell ref="A106:A109"/>
    <mergeCell ref="H108:H109"/>
    <mergeCell ref="C103:C104"/>
    <mergeCell ref="C108:C109"/>
    <mergeCell ref="A117:A120"/>
    <mergeCell ref="D119:D120"/>
    <mergeCell ref="E119:E120"/>
    <mergeCell ref="F119:F120"/>
    <mergeCell ref="A122:A125"/>
    <mergeCell ref="F124:F125"/>
    <mergeCell ref="G124:G125"/>
    <mergeCell ref="H124:H125"/>
    <mergeCell ref="I124:I125"/>
    <mergeCell ref="AK124:AK125"/>
    <mergeCell ref="AL124:AL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AX124:AX125"/>
    <mergeCell ref="AY124:AY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T108:T109"/>
    <mergeCell ref="U108:U109"/>
    <mergeCell ref="N108:N109"/>
    <mergeCell ref="O108:O109"/>
    <mergeCell ref="P108:P109"/>
    <mergeCell ref="Q108:Q109"/>
    <mergeCell ref="R108:R109"/>
    <mergeCell ref="S108:S109"/>
    <mergeCell ref="AD119:AD120"/>
    <mergeCell ref="AE119:AE120"/>
    <mergeCell ref="AF119:AF120"/>
    <mergeCell ref="AG119:AG120"/>
    <mergeCell ref="AH119:AH120"/>
    <mergeCell ref="AI119:AI120"/>
    <mergeCell ref="AJ119:AJ120"/>
    <mergeCell ref="AI108:AI109"/>
    <mergeCell ref="AJ108:AJ109"/>
    <mergeCell ref="AC108:AC109"/>
    <mergeCell ref="AD108:AD109"/>
    <mergeCell ref="AE108:AE109"/>
    <mergeCell ref="AF108:AF109"/>
    <mergeCell ref="AG108:AG109"/>
    <mergeCell ref="AH108:AH109"/>
    <mergeCell ref="AO129:AO130"/>
    <mergeCell ref="AP129:AP130"/>
    <mergeCell ref="AQ129:AQ130"/>
    <mergeCell ref="AR129:AR130"/>
    <mergeCell ref="AS129:AS130"/>
    <mergeCell ref="AT129:AT130"/>
    <mergeCell ref="AU129:AU130"/>
    <mergeCell ref="AV129:AV130"/>
    <mergeCell ref="AW129:AW130"/>
    <mergeCell ref="AX129:AX130"/>
    <mergeCell ref="AY129:AY130"/>
    <mergeCell ref="Q129:Q130"/>
    <mergeCell ref="R129:R130"/>
    <mergeCell ref="S129:S130"/>
    <mergeCell ref="T129:T130"/>
    <mergeCell ref="U129:U130"/>
    <mergeCell ref="V129:V130"/>
    <mergeCell ref="W129:W130"/>
    <mergeCell ref="X129:X130"/>
    <mergeCell ref="AE129:AE130"/>
    <mergeCell ref="AF129:AF130"/>
    <mergeCell ref="AG129:AG130"/>
    <mergeCell ref="AH129:AH130"/>
    <mergeCell ref="AI129:AI130"/>
    <mergeCell ref="AJ129:AJ130"/>
    <mergeCell ref="AK129:AK130"/>
    <mergeCell ref="AL129:AL130"/>
    <mergeCell ref="AD129:AD130"/>
    <mergeCell ref="AZ129:AZ130"/>
    <mergeCell ref="BH129:BH130"/>
    <mergeCell ref="BI129:BI130"/>
    <mergeCell ref="BJ129:BJ130"/>
    <mergeCell ref="BA129:BA130"/>
    <mergeCell ref="BB129:BB130"/>
    <mergeCell ref="BC129:BC130"/>
    <mergeCell ref="BD129:BD130"/>
    <mergeCell ref="BE129:BE130"/>
    <mergeCell ref="BF129:BF130"/>
    <mergeCell ref="BG129:BG130"/>
    <mergeCell ref="F108:F109"/>
    <mergeCell ref="G108:G109"/>
    <mergeCell ref="G119:G120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Z119:Z120"/>
    <mergeCell ref="AA119:AA120"/>
    <mergeCell ref="AB119:AB120"/>
    <mergeCell ref="AC119:AC120"/>
    <mergeCell ref="AM129:AM130"/>
    <mergeCell ref="AN129:AN130"/>
    <mergeCell ref="C119:C120"/>
    <mergeCell ref="C124:C125"/>
    <mergeCell ref="A127:A130"/>
    <mergeCell ref="C129:C130"/>
    <mergeCell ref="D124:D125"/>
    <mergeCell ref="E124:E125"/>
    <mergeCell ref="D129:D130"/>
    <mergeCell ref="E129:E130"/>
    <mergeCell ref="F129:F130"/>
    <mergeCell ref="G129:G130"/>
    <mergeCell ref="H129:H130"/>
    <mergeCell ref="Y129:Y130"/>
    <mergeCell ref="Z129:Z130"/>
    <mergeCell ref="AA129:AA130"/>
    <mergeCell ref="AB129:AB130"/>
    <mergeCell ref="AC129:AC130"/>
    <mergeCell ref="T119:T120"/>
    <mergeCell ref="U119:U120"/>
    <mergeCell ref="V119:V120"/>
    <mergeCell ref="W119:W120"/>
    <mergeCell ref="X119:X120"/>
    <mergeCell ref="Y119:Y120"/>
    <mergeCell ref="O129:O130"/>
    <mergeCell ref="P129:P130"/>
    <mergeCell ref="I129:I130"/>
    <mergeCell ref="J129:J130"/>
    <mergeCell ref="K129:K130"/>
    <mergeCell ref="L129:L130"/>
    <mergeCell ref="M129:M130"/>
    <mergeCell ref="N129:N130"/>
    <mergeCell ref="Y124:Y125"/>
    <mergeCell ref="Z124:Z125"/>
    <mergeCell ref="BE134:BE135"/>
    <mergeCell ref="BF134:BF135"/>
    <mergeCell ref="BG134:BG135"/>
    <mergeCell ref="BH134:BH135"/>
    <mergeCell ref="BI134:BI135"/>
    <mergeCell ref="BJ134:BJ135"/>
    <mergeCell ref="AX134:AX135"/>
    <mergeCell ref="AY134:AY135"/>
    <mergeCell ref="AZ134:AZ135"/>
    <mergeCell ref="BA134:BA135"/>
    <mergeCell ref="BB134:BB135"/>
    <mergeCell ref="BC134:BC135"/>
    <mergeCell ref="BD134:BD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R139:R140"/>
    <mergeCell ref="S139:S140"/>
    <mergeCell ref="AB139:AB140"/>
    <mergeCell ref="V139:V140"/>
    <mergeCell ref="W139:W140"/>
    <mergeCell ref="X139:X140"/>
    <mergeCell ref="Y139:Y140"/>
    <mergeCell ref="Z139:Z140"/>
    <mergeCell ref="AA139:AA140"/>
    <mergeCell ref="AT134:AT135"/>
    <mergeCell ref="AU134:AU135"/>
    <mergeCell ref="AV134:AV135"/>
    <mergeCell ref="AW134:AW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BG139:BG140"/>
    <mergeCell ref="BH139:BH140"/>
    <mergeCell ref="BI139:BI140"/>
    <mergeCell ref="BJ139:BJ140"/>
    <mergeCell ref="AZ139:AZ140"/>
    <mergeCell ref="BA139:BA140"/>
    <mergeCell ref="BB139:BB140"/>
    <mergeCell ref="BC139:BC140"/>
    <mergeCell ref="BD139:BD140"/>
    <mergeCell ref="BE139:BE140"/>
    <mergeCell ref="BF139:BF140"/>
    <mergeCell ref="AC139:AC140"/>
    <mergeCell ref="AD139:AD140"/>
    <mergeCell ref="AE139:AE140"/>
    <mergeCell ref="AF139:AF140"/>
    <mergeCell ref="AG139:AG140"/>
    <mergeCell ref="AH139:AH140"/>
    <mergeCell ref="AI139:AI140"/>
    <mergeCell ref="AJ139:AJ140"/>
    <mergeCell ref="AK139:AK140"/>
    <mergeCell ref="AL139:AL140"/>
    <mergeCell ref="AM139:AM140"/>
    <mergeCell ref="AN139:AN140"/>
    <mergeCell ref="AO139:AO140"/>
    <mergeCell ref="AP139:AP140"/>
    <mergeCell ref="AQ139:AQ140"/>
    <mergeCell ref="AR139:AR140"/>
    <mergeCell ref="AS139:AS140"/>
    <mergeCell ref="AT139:AT140"/>
    <mergeCell ref="AU139:AU140"/>
    <mergeCell ref="AV139:AV140"/>
    <mergeCell ref="AW139:AW140"/>
    <mergeCell ref="BJ155:BJ156"/>
    <mergeCell ref="AX155:AX156"/>
    <mergeCell ref="AY155:AY156"/>
    <mergeCell ref="AZ155:AZ156"/>
    <mergeCell ref="AX139:AX140"/>
    <mergeCell ref="AY139:AY140"/>
    <mergeCell ref="T139:T140"/>
    <mergeCell ref="U139:U140"/>
    <mergeCell ref="AE134:AE135"/>
    <mergeCell ref="AF134:AF135"/>
    <mergeCell ref="AI144:AI145"/>
    <mergeCell ref="AJ144:AJ145"/>
    <mergeCell ref="AK144:AK145"/>
    <mergeCell ref="AL144:AL145"/>
    <mergeCell ref="AM144:AM145"/>
    <mergeCell ref="AN144:AN145"/>
    <mergeCell ref="AO144:AO145"/>
    <mergeCell ref="AP144:AP145"/>
    <mergeCell ref="AQ144:AQ145"/>
    <mergeCell ref="AR144:AR145"/>
    <mergeCell ref="AS144:AS145"/>
    <mergeCell ref="X134:X135"/>
    <mergeCell ref="Y134:Y135"/>
    <mergeCell ref="Z134:Z135"/>
    <mergeCell ref="AA134:AA135"/>
    <mergeCell ref="AB134:AB135"/>
    <mergeCell ref="AC134:AC135"/>
    <mergeCell ref="AD134:AD135"/>
    <mergeCell ref="X144:X145"/>
    <mergeCell ref="Y144:Y145"/>
    <mergeCell ref="Z144:Z145"/>
    <mergeCell ref="AA144:AA145"/>
    <mergeCell ref="AQ155:AQ156"/>
    <mergeCell ref="AF155:AF156"/>
    <mergeCell ref="AG155:AG156"/>
    <mergeCell ref="AH155:AH156"/>
    <mergeCell ref="AR155:AR156"/>
    <mergeCell ref="AT144:AT145"/>
    <mergeCell ref="AU144:AU145"/>
    <mergeCell ref="AV144:AV145"/>
    <mergeCell ref="AW144:AW145"/>
    <mergeCell ref="AX144:AX145"/>
    <mergeCell ref="AY144:AY145"/>
    <mergeCell ref="BG144:BG145"/>
    <mergeCell ref="BH144:BH145"/>
    <mergeCell ref="BI144:BI145"/>
    <mergeCell ref="BJ144:BJ145"/>
    <mergeCell ref="AZ144:AZ145"/>
    <mergeCell ref="BA144:BA145"/>
    <mergeCell ref="BB144:BB145"/>
    <mergeCell ref="BC144:BC145"/>
    <mergeCell ref="BD144:BD145"/>
    <mergeCell ref="BE144:BE145"/>
    <mergeCell ref="BF144:BF145"/>
    <mergeCell ref="AS155:AS156"/>
    <mergeCell ref="AT155:AT156"/>
    <mergeCell ref="AU155:AU156"/>
    <mergeCell ref="AV155:AV156"/>
    <mergeCell ref="AW155:AW156"/>
    <mergeCell ref="BE155:BE156"/>
    <mergeCell ref="BF155:BF156"/>
    <mergeCell ref="BG155:BG156"/>
    <mergeCell ref="BH155:BH156"/>
    <mergeCell ref="BI155:BI156"/>
    <mergeCell ref="BB155:BB156"/>
    <mergeCell ref="BC155:BC156"/>
    <mergeCell ref="BD155:BD156"/>
    <mergeCell ref="T144:T145"/>
    <mergeCell ref="U144:U145"/>
    <mergeCell ref="V144:V145"/>
    <mergeCell ref="W144:W145"/>
    <mergeCell ref="AC155:AC156"/>
    <mergeCell ref="AD155:AD156"/>
    <mergeCell ref="AE155:AE156"/>
    <mergeCell ref="A132:A135"/>
    <mergeCell ref="D134:D135"/>
    <mergeCell ref="E134:E135"/>
    <mergeCell ref="F134:F135"/>
    <mergeCell ref="G134:G135"/>
    <mergeCell ref="H134:H135"/>
    <mergeCell ref="A137:A140"/>
    <mergeCell ref="H139:H140"/>
    <mergeCell ref="F139:F140"/>
    <mergeCell ref="G139:G140"/>
    <mergeCell ref="F144:F145"/>
    <mergeCell ref="G144:G145"/>
    <mergeCell ref="H144:H145"/>
    <mergeCell ref="I144:I145"/>
    <mergeCell ref="J144:J145"/>
    <mergeCell ref="AC144:AC145"/>
    <mergeCell ref="AD144:AD145"/>
    <mergeCell ref="A149:BJ149"/>
    <mergeCell ref="S155:S156"/>
    <mergeCell ref="T155:T156"/>
    <mergeCell ref="M155:M156"/>
    <mergeCell ref="U155:U156"/>
    <mergeCell ref="C134:C135"/>
    <mergeCell ref="C139:C140"/>
    <mergeCell ref="A142:A145"/>
    <mergeCell ref="C144:C145"/>
    <mergeCell ref="D144:D145"/>
    <mergeCell ref="E144:E145"/>
    <mergeCell ref="A153:A156"/>
    <mergeCell ref="E155:E156"/>
    <mergeCell ref="K144:K145"/>
    <mergeCell ref="L144:L145"/>
    <mergeCell ref="M144:M145"/>
    <mergeCell ref="N144:N145"/>
    <mergeCell ref="O144:O145"/>
    <mergeCell ref="P144:P145"/>
    <mergeCell ref="Q144:Q145"/>
    <mergeCell ref="C155:C156"/>
    <mergeCell ref="BA155:BA156"/>
    <mergeCell ref="V155:V156"/>
    <mergeCell ref="W155:W156"/>
    <mergeCell ref="X155:X156"/>
    <mergeCell ref="Y155:Y156"/>
    <mergeCell ref="Z155:Z156"/>
    <mergeCell ref="AA155:AA156"/>
    <mergeCell ref="AB155:AB156"/>
    <mergeCell ref="AI155:AI156"/>
    <mergeCell ref="AJ155:AJ156"/>
    <mergeCell ref="AK155:AK156"/>
    <mergeCell ref="AL155:AL156"/>
    <mergeCell ref="AM155:AM156"/>
    <mergeCell ref="AN155:AN156"/>
    <mergeCell ref="AO155:AO156"/>
    <mergeCell ref="AP155:AP156"/>
    <mergeCell ref="AE144:AE145"/>
    <mergeCell ref="AF144:AF145"/>
    <mergeCell ref="AG144:AG145"/>
    <mergeCell ref="AH144:AH145"/>
    <mergeCell ref="R144:R145"/>
    <mergeCell ref="S144:S145"/>
    <mergeCell ref="R155:R156"/>
    <mergeCell ref="D139:D140"/>
    <mergeCell ref="E139:E140"/>
    <mergeCell ref="I139:I140"/>
    <mergeCell ref="J139:J140"/>
    <mergeCell ref="K139:K140"/>
    <mergeCell ref="L139:L140"/>
    <mergeCell ref="M139:M140"/>
    <mergeCell ref="I134:I135"/>
    <mergeCell ref="J134:J135"/>
    <mergeCell ref="K134:K135"/>
    <mergeCell ref="L134:L135"/>
    <mergeCell ref="M134:M135"/>
    <mergeCell ref="N134:N135"/>
    <mergeCell ref="O134:O135"/>
    <mergeCell ref="K155:K156"/>
    <mergeCell ref="L155:L156"/>
    <mergeCell ref="N155:N156"/>
    <mergeCell ref="O155:O156"/>
    <mergeCell ref="P155:P156"/>
    <mergeCell ref="Q155:Q156"/>
    <mergeCell ref="AB144:AB145"/>
    <mergeCell ref="N139:N140"/>
    <mergeCell ref="O139:O140"/>
    <mergeCell ref="P139:P140"/>
    <mergeCell ref="Q139:Q140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I160:AI161"/>
    <mergeCell ref="AJ160:AJ161"/>
    <mergeCell ref="AK160:AK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L165:AL166"/>
    <mergeCell ref="AM165:AM166"/>
    <mergeCell ref="AN165:AN166"/>
    <mergeCell ref="AO165:AO166"/>
    <mergeCell ref="AP165:AP166"/>
    <mergeCell ref="AQ165:AQ166"/>
    <mergeCell ref="AR165:AR166"/>
    <mergeCell ref="AV160:AV161"/>
    <mergeCell ref="AW160:AW161"/>
    <mergeCell ref="BE160:BE161"/>
    <mergeCell ref="BF160:BF161"/>
    <mergeCell ref="BG160:BG161"/>
    <mergeCell ref="BH160:BH161"/>
    <mergeCell ref="BI160:BI161"/>
    <mergeCell ref="BJ160:BJ161"/>
    <mergeCell ref="AX160:AX161"/>
    <mergeCell ref="AY160:AY161"/>
    <mergeCell ref="AZ160:AZ161"/>
    <mergeCell ref="BA160:BA161"/>
    <mergeCell ref="BB160:BB161"/>
    <mergeCell ref="BC160:BC161"/>
    <mergeCell ref="BD160:BD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T165:AT166"/>
    <mergeCell ref="AU165:AU166"/>
    <mergeCell ref="AV165:AV166"/>
    <mergeCell ref="AW165:AW166"/>
    <mergeCell ref="AX165:AX166"/>
    <mergeCell ref="AY165:AY166"/>
    <mergeCell ref="BG165:BG166"/>
    <mergeCell ref="BH165:BH166"/>
    <mergeCell ref="BI165:BI166"/>
    <mergeCell ref="BJ165:BJ166"/>
    <mergeCell ref="AZ165:AZ166"/>
    <mergeCell ref="BA165:BA166"/>
    <mergeCell ref="BB165:BB166"/>
    <mergeCell ref="BC165:BC166"/>
    <mergeCell ref="BD165:BD166"/>
    <mergeCell ref="BE165:BE166"/>
    <mergeCell ref="BF165:BF166"/>
    <mergeCell ref="C160:C161"/>
    <mergeCell ref="A163:A166"/>
    <mergeCell ref="C165:C166"/>
    <mergeCell ref="F160:F161"/>
    <mergeCell ref="G160:G161"/>
    <mergeCell ref="D155:D156"/>
    <mergeCell ref="F155:F156"/>
    <mergeCell ref="G155:G156"/>
    <mergeCell ref="H155:H156"/>
    <mergeCell ref="I155:I156"/>
    <mergeCell ref="J155:J156"/>
    <mergeCell ref="A158:A161"/>
    <mergeCell ref="J160:J161"/>
    <mergeCell ref="H160:H161"/>
    <mergeCell ref="I160:I161"/>
    <mergeCell ref="K160:K161"/>
    <mergeCell ref="L160:L16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M160:M161"/>
    <mergeCell ref="N160:N161"/>
    <mergeCell ref="D160:D161"/>
    <mergeCell ref="E160:E161"/>
    <mergeCell ref="D165:D166"/>
    <mergeCell ref="E165:E166"/>
    <mergeCell ref="F165:F166"/>
    <mergeCell ref="G165:G166"/>
    <mergeCell ref="H165:H166"/>
    <mergeCell ref="O160:O161"/>
    <mergeCell ref="P160:P161"/>
    <mergeCell ref="Q160:Q161"/>
    <mergeCell ref="R160:R161"/>
    <mergeCell ref="S160:S161"/>
    <mergeCell ref="T160:T161"/>
    <mergeCell ref="U160:U161"/>
    <mergeCell ref="AS165:AS166"/>
    <mergeCell ref="AE165:AE166"/>
    <mergeCell ref="AF165:AF166"/>
    <mergeCell ref="AG165:AG166"/>
    <mergeCell ref="AH165:AH166"/>
    <mergeCell ref="AI165:AI166"/>
    <mergeCell ref="AJ165:AJ166"/>
    <mergeCell ref="AK165:AK166"/>
    <mergeCell ref="AT170:AT171"/>
    <mergeCell ref="AU170:AU171"/>
    <mergeCell ref="AV170:AV171"/>
    <mergeCell ref="AW170:AW171"/>
    <mergeCell ref="BE170:BE171"/>
    <mergeCell ref="BF170:BF171"/>
    <mergeCell ref="BG170:BG171"/>
    <mergeCell ref="BH170:BH171"/>
    <mergeCell ref="BI170:BI171"/>
    <mergeCell ref="BJ170:BJ171"/>
    <mergeCell ref="AX170:AX171"/>
    <mergeCell ref="AY170:AY171"/>
    <mergeCell ref="AZ170:AZ171"/>
    <mergeCell ref="BA170:BA171"/>
    <mergeCell ref="BB170:BB171"/>
    <mergeCell ref="BC170:BC171"/>
    <mergeCell ref="BD170:BD171"/>
    <mergeCell ref="AL175:AL176"/>
    <mergeCell ref="AM175:AM176"/>
    <mergeCell ref="AN175:AN176"/>
    <mergeCell ref="AO175:AO176"/>
    <mergeCell ref="AP175:AP176"/>
    <mergeCell ref="AQ175:AQ176"/>
    <mergeCell ref="AR175:AR176"/>
    <mergeCell ref="AS175:AS176"/>
    <mergeCell ref="AT175:AT176"/>
    <mergeCell ref="AU175:AU176"/>
    <mergeCell ref="AV175:AV176"/>
    <mergeCell ref="AB175:AB176"/>
    <mergeCell ref="V175:V176"/>
    <mergeCell ref="W175:W176"/>
    <mergeCell ref="X175:X176"/>
    <mergeCell ref="Y175:Y176"/>
    <mergeCell ref="Z175:Z176"/>
    <mergeCell ref="AA175:AA176"/>
    <mergeCell ref="AC175:AC176"/>
    <mergeCell ref="AD175:AD176"/>
    <mergeCell ref="AE175:AE176"/>
    <mergeCell ref="AF175:AF176"/>
    <mergeCell ref="AG175:AG176"/>
    <mergeCell ref="AH175:AH176"/>
    <mergeCell ref="AI175:AI176"/>
    <mergeCell ref="AW175:AW176"/>
    <mergeCell ref="AX175:AX176"/>
    <mergeCell ref="AY175:AY176"/>
    <mergeCell ref="BG175:BG176"/>
    <mergeCell ref="BH175:BH176"/>
    <mergeCell ref="BI175:BI176"/>
    <mergeCell ref="BJ175:BJ176"/>
    <mergeCell ref="AZ175:AZ176"/>
    <mergeCell ref="BA175:BA176"/>
    <mergeCell ref="BB175:BB176"/>
    <mergeCell ref="BC175:BC176"/>
    <mergeCell ref="BD175:BD176"/>
    <mergeCell ref="BE175:BE176"/>
    <mergeCell ref="BF175:BF176"/>
    <mergeCell ref="O165:O166"/>
    <mergeCell ref="P165:P166"/>
    <mergeCell ref="I165:I166"/>
    <mergeCell ref="J165:J166"/>
    <mergeCell ref="K165:K166"/>
    <mergeCell ref="L165:L166"/>
    <mergeCell ref="M165:M166"/>
    <mergeCell ref="N165:N166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J175:AJ176"/>
    <mergeCell ref="AK175:AK176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D175:D176"/>
    <mergeCell ref="E175:E176"/>
    <mergeCell ref="I175:I176"/>
    <mergeCell ref="J175:J176"/>
    <mergeCell ref="K175:K176"/>
    <mergeCell ref="L175:L176"/>
    <mergeCell ref="M175:M176"/>
    <mergeCell ref="T175:T176"/>
    <mergeCell ref="U175:U176"/>
    <mergeCell ref="N175:N176"/>
    <mergeCell ref="O175:O176"/>
    <mergeCell ref="P175:P176"/>
    <mergeCell ref="Q175:Q176"/>
    <mergeCell ref="R175:R176"/>
    <mergeCell ref="S175:S176"/>
    <mergeCell ref="BJ191:BJ192"/>
    <mergeCell ref="AX191:AX192"/>
    <mergeCell ref="AY191:AY192"/>
    <mergeCell ref="AZ191:AZ192"/>
    <mergeCell ref="BA191:BA192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BG180:BG181"/>
    <mergeCell ref="BH180:BH181"/>
    <mergeCell ref="BI180:BI181"/>
    <mergeCell ref="BJ180:BJ181"/>
    <mergeCell ref="AZ180:AZ181"/>
    <mergeCell ref="BA180:BA181"/>
    <mergeCell ref="BB180:BB181"/>
    <mergeCell ref="BC180:BC181"/>
    <mergeCell ref="BD180:BD181"/>
    <mergeCell ref="BE180:BE181"/>
    <mergeCell ref="BF180:BF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A185:BJ185"/>
    <mergeCell ref="AG191:AG192"/>
    <mergeCell ref="AH191:AH192"/>
    <mergeCell ref="AI191:AI192"/>
    <mergeCell ref="AJ191:AJ192"/>
    <mergeCell ref="AK191:AK192"/>
    <mergeCell ref="AL191:AL192"/>
    <mergeCell ref="AM191:AM192"/>
    <mergeCell ref="AN191:AN192"/>
    <mergeCell ref="AO191:AO192"/>
    <mergeCell ref="AP191:AP192"/>
    <mergeCell ref="AQ191:AQ192"/>
    <mergeCell ref="AR191:AR192"/>
    <mergeCell ref="AS191:AS192"/>
    <mergeCell ref="AT191:AT192"/>
    <mergeCell ref="AU191:AU192"/>
    <mergeCell ref="AV191:AV192"/>
    <mergeCell ref="AW191:AW192"/>
    <mergeCell ref="BE191:BE192"/>
    <mergeCell ref="BF191:BF192"/>
    <mergeCell ref="BG191:BG192"/>
    <mergeCell ref="BH191:BH192"/>
    <mergeCell ref="BI191:BI192"/>
    <mergeCell ref="C170:C171"/>
    <mergeCell ref="C175:C176"/>
    <mergeCell ref="A178:A181"/>
    <mergeCell ref="C180:C181"/>
    <mergeCell ref="D180:D181"/>
    <mergeCell ref="E180:E181"/>
    <mergeCell ref="A168:A171"/>
    <mergeCell ref="D170:D171"/>
    <mergeCell ref="E170:E171"/>
    <mergeCell ref="F170:F171"/>
    <mergeCell ref="G170:G171"/>
    <mergeCell ref="H170:H171"/>
    <mergeCell ref="A173:A176"/>
    <mergeCell ref="H175:H176"/>
    <mergeCell ref="F175:F176"/>
    <mergeCell ref="G175:G176"/>
    <mergeCell ref="F180:F181"/>
    <mergeCell ref="G180:G181"/>
    <mergeCell ref="H180:H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BB191:BB192"/>
    <mergeCell ref="BC191:BC192"/>
    <mergeCell ref="BD191:BD192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F180:AF181"/>
    <mergeCell ref="AG180:AG181"/>
    <mergeCell ref="AH180:AH181"/>
    <mergeCell ref="S191:S192"/>
    <mergeCell ref="T191:T192"/>
    <mergeCell ref="U191:U192"/>
    <mergeCell ref="V191:V192"/>
    <mergeCell ref="AL196:AL197"/>
    <mergeCell ref="AM196:AM197"/>
    <mergeCell ref="AN196:AN197"/>
    <mergeCell ref="AO196:AO197"/>
    <mergeCell ref="AP196:AP197"/>
    <mergeCell ref="AQ196:AQ197"/>
    <mergeCell ref="AR196:AR197"/>
    <mergeCell ref="AS196:AS197"/>
    <mergeCell ref="T196:T197"/>
    <mergeCell ref="U196:U197"/>
    <mergeCell ref="N196:N197"/>
    <mergeCell ref="O196:O197"/>
    <mergeCell ref="P196:P197"/>
    <mergeCell ref="Q196:Q197"/>
    <mergeCell ref="R196:R197"/>
    <mergeCell ref="S196:S197"/>
    <mergeCell ref="V196:V197"/>
    <mergeCell ref="W196:W197"/>
    <mergeCell ref="X196:X197"/>
    <mergeCell ref="Y196:Y197"/>
    <mergeCell ref="Z196:Z197"/>
    <mergeCell ref="AA196:AA197"/>
    <mergeCell ref="AB196:AB197"/>
    <mergeCell ref="AT201:AT202"/>
    <mergeCell ref="AU201:AU202"/>
    <mergeCell ref="AT196:AT197"/>
    <mergeCell ref="AU196:AU197"/>
    <mergeCell ref="BC196:BC197"/>
    <mergeCell ref="BD196:BD197"/>
    <mergeCell ref="BE196:BE197"/>
    <mergeCell ref="BF196:BF197"/>
    <mergeCell ref="BG196:BG197"/>
    <mergeCell ref="BH196:BH197"/>
    <mergeCell ref="BI196:BI197"/>
    <mergeCell ref="BJ196:BJ197"/>
    <mergeCell ref="AV196:AV197"/>
    <mergeCell ref="AW196:AW197"/>
    <mergeCell ref="AX196:AX197"/>
    <mergeCell ref="AY196:AY197"/>
    <mergeCell ref="AZ196:AZ197"/>
    <mergeCell ref="BA196:BA197"/>
    <mergeCell ref="BB196:BB197"/>
    <mergeCell ref="AZ201:AZ202"/>
    <mergeCell ref="BA201:BA202"/>
    <mergeCell ref="BB201:BB202"/>
    <mergeCell ref="BC201:BC202"/>
    <mergeCell ref="BD201:BD202"/>
    <mergeCell ref="BE201:BE202"/>
    <mergeCell ref="BF201:BF202"/>
    <mergeCell ref="AM201:AM202"/>
    <mergeCell ref="AN201:AN202"/>
    <mergeCell ref="AO201:AO202"/>
    <mergeCell ref="AP201:AP202"/>
    <mergeCell ref="AQ201:AQ202"/>
    <mergeCell ref="AR201:AR202"/>
    <mergeCell ref="AS201:AS202"/>
    <mergeCell ref="AL206:AL207"/>
    <mergeCell ref="AM206:AM207"/>
    <mergeCell ref="AN206:AN207"/>
    <mergeCell ref="AO206:AO207"/>
    <mergeCell ref="AP206:AP207"/>
    <mergeCell ref="AQ206:AQ207"/>
    <mergeCell ref="AR206:AR207"/>
    <mergeCell ref="AS206:AS207"/>
    <mergeCell ref="AT206:AT207"/>
    <mergeCell ref="K206:K207"/>
    <mergeCell ref="L206:L207"/>
    <mergeCell ref="V206:V207"/>
    <mergeCell ref="W206:W207"/>
    <mergeCell ref="X206:X207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AI201:AI202"/>
    <mergeCell ref="AJ201:AJ202"/>
    <mergeCell ref="S11:S12"/>
    <mergeCell ref="T11:T12"/>
    <mergeCell ref="U11:U12"/>
    <mergeCell ref="K16:K17"/>
    <mergeCell ref="L16:L17"/>
    <mergeCell ref="M16:M17"/>
    <mergeCell ref="I21:I22"/>
    <mergeCell ref="J21:J22"/>
    <mergeCell ref="K21:K22"/>
    <mergeCell ref="L21:L22"/>
    <mergeCell ref="M21:M22"/>
    <mergeCell ref="N21:N22"/>
    <mergeCell ref="D26:D27"/>
    <mergeCell ref="E26:E27"/>
    <mergeCell ref="I26:I27"/>
    <mergeCell ref="J26:J27"/>
    <mergeCell ref="AL201:AL202"/>
    <mergeCell ref="AK201:AK202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AH201:AH202"/>
    <mergeCell ref="K201:K202"/>
    <mergeCell ref="L201:L202"/>
    <mergeCell ref="M201:M202"/>
    <mergeCell ref="N201:N20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H206:AH207"/>
    <mergeCell ref="AI206:AI207"/>
    <mergeCell ref="AJ206:AJ207"/>
    <mergeCell ref="AK206:AK207"/>
    <mergeCell ref="AG196:AG197"/>
    <mergeCell ref="AH196:AH197"/>
    <mergeCell ref="AI196:AI197"/>
    <mergeCell ref="AJ196:AJ197"/>
    <mergeCell ref="AK196:AK197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G57:AG58"/>
    <mergeCell ref="AH57:AH58"/>
    <mergeCell ref="AI57:AI58"/>
    <mergeCell ref="AN11:AN12"/>
    <mergeCell ref="AO11:AO12"/>
    <mergeCell ref="AP11:AP12"/>
    <mergeCell ref="BB11:BB12"/>
    <mergeCell ref="BC11:BC12"/>
    <mergeCell ref="BD11:BD12"/>
    <mergeCell ref="BE11:BE12"/>
    <mergeCell ref="BF11:BF12"/>
    <mergeCell ref="AU206:AU207"/>
    <mergeCell ref="AV206:AV207"/>
    <mergeCell ref="BD206:BD207"/>
    <mergeCell ref="BE206:BE207"/>
    <mergeCell ref="BF206:BF207"/>
    <mergeCell ref="BG206:BG207"/>
    <mergeCell ref="BH206:BH207"/>
    <mergeCell ref="BI206:BI207"/>
    <mergeCell ref="BJ206:BJ207"/>
    <mergeCell ref="AW206:AW207"/>
    <mergeCell ref="AX206:AX207"/>
    <mergeCell ref="AY206:AY207"/>
    <mergeCell ref="AZ206:AZ207"/>
    <mergeCell ref="BA206:BA207"/>
    <mergeCell ref="BB206:BB207"/>
    <mergeCell ref="BC206:BC207"/>
    <mergeCell ref="AV201:AV202"/>
    <mergeCell ref="AW201:AW202"/>
    <mergeCell ref="AX201:AX202"/>
    <mergeCell ref="AY201:AY202"/>
    <mergeCell ref="BG201:BG202"/>
    <mergeCell ref="BH201:BH202"/>
    <mergeCell ref="BI201:BI202"/>
    <mergeCell ref="BJ201:BJ202"/>
    <mergeCell ref="BG11:BG12"/>
    <mergeCell ref="BH11:BH12"/>
    <mergeCell ref="BI11:BI12"/>
    <mergeCell ref="A2:BJ2"/>
    <mergeCell ref="A3:BJ3"/>
    <mergeCell ref="A5:BJ5"/>
    <mergeCell ref="A9:A12"/>
    <mergeCell ref="C11:C12"/>
    <mergeCell ref="D11:D12"/>
    <mergeCell ref="E11:E12"/>
    <mergeCell ref="BJ11:BJ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F11:F12"/>
    <mergeCell ref="G11:G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BJ16:BJ17"/>
    <mergeCell ref="AV16:AV17"/>
    <mergeCell ref="AW16:AW17"/>
    <mergeCell ref="AX16:AX17"/>
    <mergeCell ref="AY16:AY17"/>
    <mergeCell ref="AZ16:AZ17"/>
    <mergeCell ref="BA16:BA17"/>
    <mergeCell ref="BB16:BB17"/>
    <mergeCell ref="H11:H12"/>
    <mergeCell ref="I11:I12"/>
    <mergeCell ref="J11:J12"/>
    <mergeCell ref="K11:K12"/>
    <mergeCell ref="L11:L12"/>
    <mergeCell ref="M11:M12"/>
    <mergeCell ref="N11:N12"/>
    <mergeCell ref="Q11:Q12"/>
    <mergeCell ref="R11:R12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T16:T17"/>
    <mergeCell ref="U16:U17"/>
    <mergeCell ref="AU16:AU17"/>
    <mergeCell ref="BC16:BC17"/>
    <mergeCell ref="BD16:BD17"/>
    <mergeCell ref="BE16:BE17"/>
    <mergeCell ref="BF16:BF17"/>
    <mergeCell ref="BG16:BG17"/>
    <mergeCell ref="BH16:BH17"/>
    <mergeCell ref="BI16:BI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BE21:BE22"/>
    <mergeCell ref="A14:A17"/>
    <mergeCell ref="C16:C17"/>
    <mergeCell ref="D16:D17"/>
    <mergeCell ref="E16:E17"/>
    <mergeCell ref="F16:F17"/>
    <mergeCell ref="O11:O12"/>
    <mergeCell ref="P11:P12"/>
    <mergeCell ref="O16:O17"/>
    <mergeCell ref="P16:P17"/>
    <mergeCell ref="Q16:Q17"/>
    <mergeCell ref="R16:R17"/>
    <mergeCell ref="S16:S17"/>
    <mergeCell ref="AG21:AG22"/>
    <mergeCell ref="AH21:AH22"/>
    <mergeCell ref="AI21:AI22"/>
    <mergeCell ref="AJ21:AJ22"/>
    <mergeCell ref="AK21:AK22"/>
    <mergeCell ref="N16:N17"/>
    <mergeCell ref="G16:G17"/>
    <mergeCell ref="H16:H17"/>
    <mergeCell ref="I16:I17"/>
    <mergeCell ref="J16:J17"/>
    <mergeCell ref="BF21:BF22"/>
    <mergeCell ref="BG21:BG22"/>
    <mergeCell ref="BH21:BH22"/>
    <mergeCell ref="BI21:BI22"/>
    <mergeCell ref="BJ21:BJ22"/>
    <mergeCell ref="AX21:AX22"/>
    <mergeCell ref="AY21:AY22"/>
    <mergeCell ref="AZ21:AZ22"/>
    <mergeCell ref="BA21:BA22"/>
    <mergeCell ref="BB21:BB22"/>
    <mergeCell ref="BC21:BC22"/>
    <mergeCell ref="BD21:BD22"/>
    <mergeCell ref="T26:T27"/>
    <mergeCell ref="U26:U27"/>
    <mergeCell ref="N26:N27"/>
    <mergeCell ref="O26:O27"/>
    <mergeCell ref="P26:P27"/>
    <mergeCell ref="Q26:Q27"/>
    <mergeCell ref="R26:R27"/>
    <mergeCell ref="S26:S27"/>
    <mergeCell ref="AB26:AB27"/>
    <mergeCell ref="V26:V27"/>
    <mergeCell ref="W26:W27"/>
    <mergeCell ref="X26:X27"/>
    <mergeCell ref="Y26:Y27"/>
    <mergeCell ref="Z26:Z27"/>
    <mergeCell ref="AA26:AA27"/>
    <mergeCell ref="AC26:AC27"/>
    <mergeCell ref="AD26:AD27"/>
    <mergeCell ref="AL21:AL22"/>
    <mergeCell ref="AM21:AM22"/>
    <mergeCell ref="AN21:AN22"/>
    <mergeCell ref="AY26:AY27"/>
    <mergeCell ref="BG26:BG27"/>
    <mergeCell ref="BH26:BH27"/>
    <mergeCell ref="BI26:BI27"/>
    <mergeCell ref="BJ26:BJ27"/>
    <mergeCell ref="AZ26:AZ27"/>
    <mergeCell ref="BA26:BA27"/>
    <mergeCell ref="BB26:BB27"/>
    <mergeCell ref="BC26:BC27"/>
    <mergeCell ref="BD26:BD27"/>
    <mergeCell ref="BE26:BE27"/>
    <mergeCell ref="BF26:BF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R26:AR27"/>
    <mergeCell ref="AS26:AS27"/>
    <mergeCell ref="AT26:AT27"/>
    <mergeCell ref="AU26:AU27"/>
    <mergeCell ref="AV26:AV27"/>
    <mergeCell ref="AW26:AW27"/>
    <mergeCell ref="AX26:AX27"/>
    <mergeCell ref="AV31:AV32"/>
    <mergeCell ref="AW31:AW32"/>
    <mergeCell ref="AX31:AX32"/>
    <mergeCell ref="AY31:AY32"/>
    <mergeCell ref="BG31:BG32"/>
    <mergeCell ref="BH31:BH32"/>
    <mergeCell ref="BI31:BI32"/>
    <mergeCell ref="BJ31:BJ32"/>
    <mergeCell ref="AZ31:AZ32"/>
    <mergeCell ref="BA31:BA32"/>
    <mergeCell ref="BB31:BB32"/>
    <mergeCell ref="BC31:BC32"/>
    <mergeCell ref="BD31:BD32"/>
    <mergeCell ref="BE31:BE32"/>
    <mergeCell ref="BF31:BF32"/>
    <mergeCell ref="K36:K37"/>
    <mergeCell ref="L36:L37"/>
    <mergeCell ref="V36:V37"/>
    <mergeCell ref="W36:W37"/>
    <mergeCell ref="X36:X37"/>
    <mergeCell ref="Y36:Y37"/>
    <mergeCell ref="Z36:Z37"/>
    <mergeCell ref="AA36:AA37"/>
    <mergeCell ref="AB36:AB37"/>
    <mergeCell ref="AI36:AI37"/>
    <mergeCell ref="AJ36:AJ37"/>
    <mergeCell ref="AK36:AK37"/>
    <mergeCell ref="AL36:AL37"/>
    <mergeCell ref="AM36:AM37"/>
    <mergeCell ref="AI31:AI32"/>
    <mergeCell ref="AJ31:AJ32"/>
    <mergeCell ref="AK31:AK32"/>
    <mergeCell ref="AV36:AV37"/>
    <mergeCell ref="AW36:AW37"/>
    <mergeCell ref="BE36:BE37"/>
    <mergeCell ref="BF36:BF37"/>
    <mergeCell ref="BG36:BG37"/>
    <mergeCell ref="BH36:BH37"/>
    <mergeCell ref="BI36:BI37"/>
    <mergeCell ref="BJ36:BJ37"/>
    <mergeCell ref="AX36:AX37"/>
    <mergeCell ref="AY36:AY37"/>
    <mergeCell ref="AZ36:AZ37"/>
    <mergeCell ref="BA36:BA37"/>
    <mergeCell ref="BB36:BB37"/>
    <mergeCell ref="BC36:BC37"/>
    <mergeCell ref="BD36:BD37"/>
    <mergeCell ref="A34:A37"/>
    <mergeCell ref="C36:C37"/>
    <mergeCell ref="D36:D37"/>
    <mergeCell ref="F36:F37"/>
    <mergeCell ref="G36:G37"/>
    <mergeCell ref="H36:H37"/>
    <mergeCell ref="I36:I37"/>
    <mergeCell ref="J36:J37"/>
    <mergeCell ref="S36:S37"/>
    <mergeCell ref="T36:T37"/>
    <mergeCell ref="M36:M37"/>
    <mergeCell ref="N36:N37"/>
    <mergeCell ref="O36:O37"/>
    <mergeCell ref="P36:P37"/>
    <mergeCell ref="Q36:Q37"/>
    <mergeCell ref="R36:R37"/>
    <mergeCell ref="U36:U37"/>
    <mergeCell ref="AT36:AT37"/>
    <mergeCell ref="AU36:AU37"/>
    <mergeCell ref="AC36:AC37"/>
    <mergeCell ref="BI62:BI63"/>
    <mergeCell ref="BJ62:BJ63"/>
    <mergeCell ref="BB62:BB63"/>
    <mergeCell ref="BC62:BC63"/>
    <mergeCell ref="BD62:BD63"/>
    <mergeCell ref="BE62:BE63"/>
    <mergeCell ref="BF62:BF63"/>
    <mergeCell ref="BG62:BG63"/>
    <mergeCell ref="BH62:BH63"/>
    <mergeCell ref="AN57:AN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BE57:BE58"/>
    <mergeCell ref="BF57:BF58"/>
    <mergeCell ref="BG57:BG58"/>
    <mergeCell ref="BH57:BH58"/>
    <mergeCell ref="BI57:BI58"/>
    <mergeCell ref="BJ57:BJ58"/>
    <mergeCell ref="AX57:AX58"/>
    <mergeCell ref="AY57:AY58"/>
    <mergeCell ref="AZ57:AZ58"/>
    <mergeCell ref="BB57:BB58"/>
    <mergeCell ref="BC57:BC58"/>
    <mergeCell ref="BD57:BD58"/>
    <mergeCell ref="AJ57:AJ58"/>
    <mergeCell ref="AK57:AK58"/>
    <mergeCell ref="AL57:AL58"/>
    <mergeCell ref="AM57:AM58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Q36:AQ37"/>
    <mergeCell ref="AR36:AR37"/>
    <mergeCell ref="AS36:AS37"/>
    <mergeCell ref="P52:P53"/>
    <mergeCell ref="K26:K27"/>
    <mergeCell ref="L26:L27"/>
    <mergeCell ref="M26:M27"/>
    <mergeCell ref="F26:F27"/>
    <mergeCell ref="G26:G27"/>
    <mergeCell ref="AB21:AB22"/>
    <mergeCell ref="AC21:AC22"/>
    <mergeCell ref="AD21:AD22"/>
    <mergeCell ref="AE21:AE22"/>
    <mergeCell ref="AF21:AF22"/>
    <mergeCell ref="W47:W48"/>
    <mergeCell ref="X47:X48"/>
    <mergeCell ref="P47:P48"/>
    <mergeCell ref="Q47:Q48"/>
    <mergeCell ref="R47:R48"/>
    <mergeCell ref="S47:S48"/>
    <mergeCell ref="T47:T48"/>
    <mergeCell ref="U47:U48"/>
    <mergeCell ref="V47:V48"/>
    <mergeCell ref="Y47:Y48"/>
    <mergeCell ref="Z47:Z48"/>
    <mergeCell ref="AA47:AA48"/>
    <mergeCell ref="AB47:AB48"/>
    <mergeCell ref="AC47:AC48"/>
    <mergeCell ref="AD47:AD48"/>
    <mergeCell ref="AE36:AE37"/>
    <mergeCell ref="AE47:AE48"/>
    <mergeCell ref="AF47:AF48"/>
    <mergeCell ref="A41:BJ41"/>
    <mergeCell ref="AN36:AN37"/>
    <mergeCell ref="AO36:AO37"/>
    <mergeCell ref="AP36:AP37"/>
    <mergeCell ref="BB47:BB48"/>
    <mergeCell ref="BC47:BC48"/>
    <mergeCell ref="BD47:BD48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R48"/>
    <mergeCell ref="AS47:AS48"/>
    <mergeCell ref="AT47:AT48"/>
    <mergeCell ref="AU47:AU48"/>
    <mergeCell ref="AG47:AG48"/>
    <mergeCell ref="AH47:AH48"/>
    <mergeCell ref="E47:E48"/>
    <mergeCell ref="F47:F48"/>
    <mergeCell ref="G47:G48"/>
    <mergeCell ref="AT52:AT53"/>
    <mergeCell ref="AU52:AU53"/>
    <mergeCell ref="AV52:AV53"/>
    <mergeCell ref="AW52:AW53"/>
    <mergeCell ref="BE52:BE53"/>
    <mergeCell ref="BF52:BF53"/>
    <mergeCell ref="BG52:BG53"/>
    <mergeCell ref="BH52:BH53"/>
    <mergeCell ref="BI52:BI53"/>
    <mergeCell ref="BJ52:BJ53"/>
    <mergeCell ref="AX52:AX53"/>
    <mergeCell ref="AY52:AY53"/>
    <mergeCell ref="AZ52:AZ53"/>
    <mergeCell ref="BA52:BA53"/>
    <mergeCell ref="BB52:BB53"/>
    <mergeCell ref="BC52:BC53"/>
    <mergeCell ref="BD52:BD53"/>
    <mergeCell ref="AV47:AV48"/>
    <mergeCell ref="AW47:AW48"/>
    <mergeCell ref="BE47:BE48"/>
    <mergeCell ref="BF47:BF48"/>
    <mergeCell ref="BG47:BG48"/>
    <mergeCell ref="BH47:BH48"/>
    <mergeCell ref="BI47:BI48"/>
    <mergeCell ref="BJ47:BJ48"/>
    <mergeCell ref="AX47:AX48"/>
    <mergeCell ref="AY47:AY48"/>
    <mergeCell ref="AZ47:AZ48"/>
    <mergeCell ref="BA47:BA48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O47:O48"/>
    <mergeCell ref="H47:H48"/>
    <mergeCell ref="I47:I48"/>
    <mergeCell ref="J47:J48"/>
    <mergeCell ref="K47:K48"/>
    <mergeCell ref="L47:L48"/>
    <mergeCell ref="M47:M48"/>
    <mergeCell ref="N47:N48"/>
    <mergeCell ref="H52:H53"/>
    <mergeCell ref="I52:I53"/>
    <mergeCell ref="J52:J53"/>
    <mergeCell ref="K52:K53"/>
    <mergeCell ref="L52:L53"/>
    <mergeCell ref="M52:M53"/>
    <mergeCell ref="N52:N53"/>
    <mergeCell ref="O52:O53"/>
    <mergeCell ref="C62:C63"/>
    <mergeCell ref="A55:A58"/>
    <mergeCell ref="D57:D58"/>
    <mergeCell ref="E57:E58"/>
    <mergeCell ref="F57:F58"/>
    <mergeCell ref="G57:G58"/>
    <mergeCell ref="H57:H58"/>
    <mergeCell ref="A60:A63"/>
    <mergeCell ref="AZ62:AZ63"/>
    <mergeCell ref="BA62:BA63"/>
    <mergeCell ref="AT62:AT63"/>
    <mergeCell ref="AU62:AU63"/>
    <mergeCell ref="AV62:AV63"/>
    <mergeCell ref="AW62:AW63"/>
    <mergeCell ref="AX62:AX63"/>
    <mergeCell ref="AY62:AY63"/>
    <mergeCell ref="K57:K58"/>
    <mergeCell ref="L57:L58"/>
    <mergeCell ref="M57:M58"/>
    <mergeCell ref="N57:N58"/>
    <mergeCell ref="O57:O58"/>
    <mergeCell ref="P57:P58"/>
    <mergeCell ref="Q57:Q58"/>
    <mergeCell ref="R57:R58"/>
    <mergeCell ref="D62:D63"/>
    <mergeCell ref="E62:E63"/>
    <mergeCell ref="BA57:BA58"/>
    <mergeCell ref="F62:F63"/>
    <mergeCell ref="G62:G63"/>
    <mergeCell ref="H62:H63"/>
    <mergeCell ref="I62:I63"/>
    <mergeCell ref="J62:J63"/>
    <mergeCell ref="AC31:AC32"/>
    <mergeCell ref="AD31:AD32"/>
    <mergeCell ref="AE31:AE32"/>
    <mergeCell ref="AF31:AF32"/>
    <mergeCell ref="AG31:AG32"/>
    <mergeCell ref="AH31:AH32"/>
    <mergeCell ref="Q31:Q32"/>
    <mergeCell ref="R31:R32"/>
    <mergeCell ref="S31:S32"/>
    <mergeCell ref="T31:T32"/>
    <mergeCell ref="U31:U32"/>
    <mergeCell ref="V31:V32"/>
    <mergeCell ref="W31:W32"/>
    <mergeCell ref="K31:K32"/>
    <mergeCell ref="L31:L32"/>
    <mergeCell ref="M31:M32"/>
    <mergeCell ref="N31:N32"/>
    <mergeCell ref="O31:O32"/>
    <mergeCell ref="P31:P32"/>
    <mergeCell ref="X31:X32"/>
    <mergeCell ref="Y31:Y32"/>
    <mergeCell ref="Z31:Z32"/>
    <mergeCell ref="AA31:AA32"/>
    <mergeCell ref="AB31:AB32"/>
    <mergeCell ref="AD36:AD37"/>
    <mergeCell ref="AF36:AF37"/>
    <mergeCell ref="AG36:AG37"/>
    <mergeCell ref="AH36:AH37"/>
    <mergeCell ref="Y62:Y63"/>
    <mergeCell ref="Z62:Z63"/>
    <mergeCell ref="AG62:AG63"/>
    <mergeCell ref="AH62:AH63"/>
    <mergeCell ref="S62:S63"/>
    <mergeCell ref="T62:T63"/>
    <mergeCell ref="U62:U63"/>
    <mergeCell ref="V62:V63"/>
    <mergeCell ref="W62:W63"/>
    <mergeCell ref="X62:X63"/>
    <mergeCell ref="S57:S58"/>
    <mergeCell ref="T57:T58"/>
    <mergeCell ref="U57:U58"/>
    <mergeCell ref="AB57:AB58"/>
    <mergeCell ref="AC57:AC58"/>
    <mergeCell ref="AD57:AD58"/>
    <mergeCell ref="AE57:AE58"/>
    <mergeCell ref="AF57:AF58"/>
    <mergeCell ref="AE52:AE53"/>
    <mergeCell ref="AF52:AF53"/>
    <mergeCell ref="AA62:AA63"/>
    <mergeCell ref="AB62:AB63"/>
    <mergeCell ref="AC62:AC63"/>
    <mergeCell ref="AD62:AD63"/>
    <mergeCell ref="AE62:AE63"/>
    <mergeCell ref="AF62:AF63"/>
    <mergeCell ref="V57:V58"/>
    <mergeCell ref="W57:W58"/>
    <mergeCell ref="A19:A22"/>
    <mergeCell ref="D21:D22"/>
    <mergeCell ref="E21:E22"/>
    <mergeCell ref="F21:F22"/>
    <mergeCell ref="G21:G22"/>
    <mergeCell ref="H21:H22"/>
    <mergeCell ref="A24:A27"/>
    <mergeCell ref="H26:H27"/>
    <mergeCell ref="C21:C22"/>
    <mergeCell ref="C26:C27"/>
    <mergeCell ref="A29:A32"/>
    <mergeCell ref="C31:C32"/>
    <mergeCell ref="D31:D32"/>
    <mergeCell ref="E31:E32"/>
    <mergeCell ref="E36:E37"/>
    <mergeCell ref="I57:I58"/>
    <mergeCell ref="J57:J58"/>
    <mergeCell ref="F31:F32"/>
    <mergeCell ref="G31:G32"/>
    <mergeCell ref="H31:H32"/>
    <mergeCell ref="I31:I32"/>
    <mergeCell ref="J31:J32"/>
    <mergeCell ref="C57:C58"/>
    <mergeCell ref="A50:A53"/>
    <mergeCell ref="C52:C53"/>
    <mergeCell ref="D52:D53"/>
    <mergeCell ref="E52:E53"/>
    <mergeCell ref="F52:F53"/>
    <mergeCell ref="G52:G53"/>
    <mergeCell ref="A45:A48"/>
    <mergeCell ref="C47:C48"/>
    <mergeCell ref="D47:D48"/>
    <mergeCell ref="X57:X58"/>
    <mergeCell ref="Y57:Y58"/>
    <mergeCell ref="Z57:Z58"/>
    <mergeCell ref="AA57:AA58"/>
    <mergeCell ref="N72:N73"/>
    <mergeCell ref="O72:O73"/>
    <mergeCell ref="P72:P73"/>
    <mergeCell ref="Q72:Q73"/>
    <mergeCell ref="R72:R73"/>
    <mergeCell ref="S72:S73"/>
    <mergeCell ref="AB72:AB73"/>
    <mergeCell ref="V72:V73"/>
    <mergeCell ref="W72:W73"/>
    <mergeCell ref="X72:X73"/>
    <mergeCell ref="Y72:Y73"/>
    <mergeCell ref="Z72:Z73"/>
    <mergeCell ref="AA72:AA73"/>
    <mergeCell ref="S67:S68"/>
    <mergeCell ref="T67:T68"/>
    <mergeCell ref="U67:U68"/>
    <mergeCell ref="V67:V68"/>
    <mergeCell ref="W67:W68"/>
    <mergeCell ref="X67:X68"/>
    <mergeCell ref="Y67:Y68"/>
    <mergeCell ref="Z67:Z68"/>
    <mergeCell ref="AA67:AA68"/>
    <mergeCell ref="Q62:Q63"/>
    <mergeCell ref="R62:R63"/>
    <mergeCell ref="BI67:BI68"/>
    <mergeCell ref="BJ67:BJ68"/>
    <mergeCell ref="AX67:AX68"/>
    <mergeCell ref="AY67:AY68"/>
    <mergeCell ref="AZ67:AZ68"/>
    <mergeCell ref="BA67:BA68"/>
    <mergeCell ref="BB67:BB68"/>
    <mergeCell ref="BC67:BC68"/>
    <mergeCell ref="BD67:BD68"/>
    <mergeCell ref="T72:T73"/>
    <mergeCell ref="U72:U73"/>
    <mergeCell ref="AO67:AO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BE67:BE68"/>
    <mergeCell ref="BF67:BF68"/>
    <mergeCell ref="BG67:BG68"/>
    <mergeCell ref="BH67:BH68"/>
    <mergeCell ref="AH67:AH68"/>
    <mergeCell ref="AI67:AI68"/>
    <mergeCell ref="AN67:AN68"/>
    <mergeCell ref="AG72:AG73"/>
    <mergeCell ref="AH72:AH73"/>
    <mergeCell ref="AI72:AI73"/>
    <mergeCell ref="AJ72:AJ73"/>
    <mergeCell ref="AK72:AK73"/>
    <mergeCell ref="P103:P104"/>
    <mergeCell ref="Q103:Q104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Z103:Z104"/>
    <mergeCell ref="AU72:AU73"/>
    <mergeCell ref="AV72:AV73"/>
    <mergeCell ref="AW72:AW73"/>
    <mergeCell ref="AX72:AX73"/>
    <mergeCell ref="AY72:AY73"/>
    <mergeCell ref="BG72:BG73"/>
    <mergeCell ref="W83:W84"/>
    <mergeCell ref="X83:X84"/>
    <mergeCell ref="Y83:Y84"/>
    <mergeCell ref="AZ98:AZ99"/>
    <mergeCell ref="BG88:BG89"/>
    <mergeCell ref="AB93:AB94"/>
    <mergeCell ref="AC93:AC94"/>
    <mergeCell ref="AD93:AD94"/>
    <mergeCell ref="AE93:AE94"/>
    <mergeCell ref="AF93:AF94"/>
    <mergeCell ref="AG93:AG94"/>
    <mergeCell ref="AH93:AH94"/>
    <mergeCell ref="AI93:AI94"/>
    <mergeCell ref="AJ93:AJ94"/>
    <mergeCell ref="AK93:AK94"/>
    <mergeCell ref="BH72:BH73"/>
    <mergeCell ref="BI72:BI73"/>
    <mergeCell ref="BJ72:BJ73"/>
    <mergeCell ref="AZ72:AZ73"/>
    <mergeCell ref="BA72:BA73"/>
    <mergeCell ref="BB72:BB73"/>
    <mergeCell ref="BC72:BC73"/>
    <mergeCell ref="BD72:BD73"/>
    <mergeCell ref="BE72:BE73"/>
    <mergeCell ref="BF72:BF73"/>
    <mergeCell ref="A77:BJ77"/>
    <mergeCell ref="AN72:AN73"/>
    <mergeCell ref="AO72:AO73"/>
    <mergeCell ref="AP72:AP73"/>
    <mergeCell ref="AQ72:AQ73"/>
    <mergeCell ref="AR72:AR73"/>
    <mergeCell ref="AS72:AS73"/>
    <mergeCell ref="AT72:AT73"/>
    <mergeCell ref="AL72:AL73"/>
    <mergeCell ref="AM72:AM73"/>
    <mergeCell ref="AC72:AC73"/>
    <mergeCell ref="AD72:AD73"/>
    <mergeCell ref="AE72:AE73"/>
    <mergeCell ref="AF72:AF73"/>
    <mergeCell ref="I72:I73"/>
    <mergeCell ref="J72:J73"/>
    <mergeCell ref="K72:K73"/>
    <mergeCell ref="L72:L73"/>
    <mergeCell ref="M72:M73"/>
    <mergeCell ref="AA103:AA104"/>
    <mergeCell ref="AN103:AN104"/>
    <mergeCell ref="AO103:AO104"/>
    <mergeCell ref="AP103:AP104"/>
    <mergeCell ref="AQ103:AQ104"/>
    <mergeCell ref="AQ108:AQ109"/>
    <mergeCell ref="D108:D109"/>
    <mergeCell ref="E108:E109"/>
    <mergeCell ref="I108:I109"/>
    <mergeCell ref="J108:J109"/>
    <mergeCell ref="K108:K109"/>
    <mergeCell ref="L108:L109"/>
    <mergeCell ref="M108:M109"/>
    <mergeCell ref="AB103:AB104"/>
    <mergeCell ref="AC103:AC104"/>
    <mergeCell ref="AD103:AD104"/>
    <mergeCell ref="AE103:AE104"/>
    <mergeCell ref="AF103:AF104"/>
    <mergeCell ref="AG103:AG104"/>
    <mergeCell ref="AH103:AH104"/>
    <mergeCell ref="AI103:AI104"/>
    <mergeCell ref="AJ103:AJ104"/>
    <mergeCell ref="AK103:AK104"/>
    <mergeCell ref="AL103:AL104"/>
    <mergeCell ref="AM103:AM104"/>
    <mergeCell ref="L103:L104"/>
    <mergeCell ref="I103:I104"/>
    <mergeCell ref="J103:J104"/>
    <mergeCell ref="K103:K104"/>
    <mergeCell ref="M103:M104"/>
    <mergeCell ref="N103:N104"/>
    <mergeCell ref="O103:O104"/>
    <mergeCell ref="Y191:Y192"/>
    <mergeCell ref="Z191:Z192"/>
    <mergeCell ref="AA191:AA192"/>
    <mergeCell ref="D196:D197"/>
    <mergeCell ref="E196:E197"/>
    <mergeCell ref="I196:I197"/>
    <mergeCell ref="J196:J197"/>
    <mergeCell ref="K196:K197"/>
    <mergeCell ref="L196:L197"/>
    <mergeCell ref="M196:M197"/>
    <mergeCell ref="AC196:AC197"/>
    <mergeCell ref="AD196:AD197"/>
    <mergeCell ref="AE196:AE197"/>
    <mergeCell ref="AF196:AF197"/>
    <mergeCell ref="AB191:AB192"/>
    <mergeCell ref="AC191:AC192"/>
    <mergeCell ref="AD191:AD192"/>
    <mergeCell ref="AE191:AE192"/>
    <mergeCell ref="AF191:AF192"/>
    <mergeCell ref="I191:I192"/>
    <mergeCell ref="J191:J192"/>
    <mergeCell ref="K191:K192"/>
    <mergeCell ref="L191:L192"/>
    <mergeCell ref="M191:M192"/>
    <mergeCell ref="N191:N192"/>
    <mergeCell ref="O191:O192"/>
    <mergeCell ref="P191:P192"/>
    <mergeCell ref="Q191:Q192"/>
    <mergeCell ref="R191:R192"/>
    <mergeCell ref="W191:W192"/>
    <mergeCell ref="X191:X192"/>
    <mergeCell ref="AI211:AI212"/>
    <mergeCell ref="AJ211:AJ212"/>
    <mergeCell ref="AK211:AK212"/>
    <mergeCell ref="AL211:AL212"/>
    <mergeCell ref="AM211:AM212"/>
    <mergeCell ref="AN211:AN212"/>
    <mergeCell ref="AO211:AO212"/>
    <mergeCell ref="AP211:AP212"/>
    <mergeCell ref="AQ211:AQ212"/>
    <mergeCell ref="AR211:AR212"/>
    <mergeCell ref="AS211:AS212"/>
    <mergeCell ref="AT211:AT212"/>
    <mergeCell ref="AD211:AD212"/>
    <mergeCell ref="AE211:AE212"/>
    <mergeCell ref="AF211:AF212"/>
    <mergeCell ref="AG211:AG212"/>
    <mergeCell ref="AH211:AH212"/>
    <mergeCell ref="AU211:AU212"/>
    <mergeCell ref="AV211:AV212"/>
    <mergeCell ref="AW211:AW212"/>
    <mergeCell ref="BE211:BE212"/>
    <mergeCell ref="BF211:BF212"/>
    <mergeCell ref="BG211:BG212"/>
    <mergeCell ref="BH211:BH212"/>
    <mergeCell ref="BI211:BI212"/>
    <mergeCell ref="BJ211:BJ212"/>
    <mergeCell ref="AX211:AX212"/>
    <mergeCell ref="AY211:AY212"/>
    <mergeCell ref="AZ211:AZ212"/>
    <mergeCell ref="BA211:BA212"/>
    <mergeCell ref="BB211:BB212"/>
    <mergeCell ref="BC211:BC212"/>
    <mergeCell ref="BD211:BD212"/>
    <mergeCell ref="A189:A192"/>
    <mergeCell ref="D191:D192"/>
    <mergeCell ref="E191:E192"/>
    <mergeCell ref="F191:F192"/>
    <mergeCell ref="G191:G192"/>
    <mergeCell ref="H191:H192"/>
    <mergeCell ref="A194:A197"/>
    <mergeCell ref="H196:H197"/>
    <mergeCell ref="F196:F197"/>
    <mergeCell ref="G196:G197"/>
    <mergeCell ref="F201:F202"/>
    <mergeCell ref="G201:G202"/>
    <mergeCell ref="H201:H202"/>
    <mergeCell ref="I201:I202"/>
    <mergeCell ref="J201:J202"/>
    <mergeCell ref="X201:X202"/>
    <mergeCell ref="P201:P202"/>
    <mergeCell ref="Q201:Q202"/>
    <mergeCell ref="R201:R202"/>
    <mergeCell ref="S201:S202"/>
    <mergeCell ref="T201:T202"/>
    <mergeCell ref="U201:U202"/>
    <mergeCell ref="V201:V202"/>
    <mergeCell ref="W201:W202"/>
    <mergeCell ref="H211:H212"/>
    <mergeCell ref="I211:I212"/>
    <mergeCell ref="J211:J212"/>
    <mergeCell ref="K211:K212"/>
    <mergeCell ref="L211:L212"/>
    <mergeCell ref="M211:M212"/>
    <mergeCell ref="N211:N212"/>
    <mergeCell ref="Y216:Y217"/>
    <mergeCell ref="Z216:Z217"/>
    <mergeCell ref="Z211:Z212"/>
    <mergeCell ref="H206:H207"/>
    <mergeCell ref="I206:I207"/>
    <mergeCell ref="J206:J207"/>
    <mergeCell ref="S206:S207"/>
    <mergeCell ref="T206:T207"/>
    <mergeCell ref="M206:M207"/>
    <mergeCell ref="N206:N207"/>
    <mergeCell ref="O206:O207"/>
    <mergeCell ref="P206:P207"/>
    <mergeCell ref="Q206:Q207"/>
    <mergeCell ref="R206:R207"/>
    <mergeCell ref="U206:U207"/>
    <mergeCell ref="O201:O202"/>
    <mergeCell ref="AA216:AA217"/>
    <mergeCell ref="AB216:AB217"/>
    <mergeCell ref="AC216:AC217"/>
    <mergeCell ref="AD216:AD217"/>
    <mergeCell ref="AE216:AE217"/>
    <mergeCell ref="AF216:AF217"/>
    <mergeCell ref="H216:H217"/>
    <mergeCell ref="I216:I217"/>
    <mergeCell ref="J216:J217"/>
    <mergeCell ref="K216:K217"/>
    <mergeCell ref="L216:L217"/>
    <mergeCell ref="AC211:AC212"/>
    <mergeCell ref="U211:U212"/>
    <mergeCell ref="V211:V212"/>
    <mergeCell ref="O211:O212"/>
    <mergeCell ref="P211:P212"/>
    <mergeCell ref="Q211:Q212"/>
    <mergeCell ref="R211:R212"/>
    <mergeCell ref="S211:S212"/>
    <mergeCell ref="T211:T212"/>
    <mergeCell ref="W211:W212"/>
    <mergeCell ref="X211:X212"/>
    <mergeCell ref="Y211:Y212"/>
    <mergeCell ref="AA211:AA212"/>
    <mergeCell ref="AB211:AB212"/>
    <mergeCell ref="AW216:AW217"/>
    <mergeCell ref="AX216:AX217"/>
    <mergeCell ref="AY216:AY217"/>
    <mergeCell ref="AZ216:AZ217"/>
    <mergeCell ref="BA216:BA217"/>
    <mergeCell ref="BI216:BI217"/>
    <mergeCell ref="BJ216:BJ217"/>
    <mergeCell ref="BB216:BB217"/>
    <mergeCell ref="BC216:BC217"/>
    <mergeCell ref="BD216:BD217"/>
    <mergeCell ref="BE216:BE217"/>
    <mergeCell ref="BF216:BF217"/>
    <mergeCell ref="BG216:BG217"/>
    <mergeCell ref="BH216:BH217"/>
    <mergeCell ref="AG216:AG217"/>
    <mergeCell ref="AH216:AH217"/>
    <mergeCell ref="AI216:AI217"/>
    <mergeCell ref="AJ216:AJ217"/>
    <mergeCell ref="AK216:AK217"/>
    <mergeCell ref="AL216:AL217"/>
    <mergeCell ref="AM216:AM217"/>
    <mergeCell ref="AN216:AN217"/>
    <mergeCell ref="AO216:AO217"/>
    <mergeCell ref="AP216:AP217"/>
    <mergeCell ref="AQ216:AQ217"/>
    <mergeCell ref="AR216:AR217"/>
    <mergeCell ref="AS216:AS217"/>
    <mergeCell ref="AI227:AI228"/>
    <mergeCell ref="AJ227:AJ228"/>
    <mergeCell ref="AK227:AK228"/>
    <mergeCell ref="AL227:AL228"/>
    <mergeCell ref="AM227:AM228"/>
    <mergeCell ref="AN227:AN228"/>
    <mergeCell ref="AO227:AO228"/>
    <mergeCell ref="AP227:AP228"/>
    <mergeCell ref="AT216:AT217"/>
    <mergeCell ref="AU216:AU217"/>
    <mergeCell ref="AV216:AV217"/>
    <mergeCell ref="AQ227:AQ228"/>
    <mergeCell ref="AR227:AR228"/>
    <mergeCell ref="AS227:AS228"/>
    <mergeCell ref="AT227:AT228"/>
    <mergeCell ref="AU227:AU228"/>
    <mergeCell ref="AV227:AV228"/>
    <mergeCell ref="C191:C192"/>
    <mergeCell ref="C196:C197"/>
    <mergeCell ref="A199:A202"/>
    <mergeCell ref="C201:C202"/>
    <mergeCell ref="D201:D202"/>
    <mergeCell ref="E201:E202"/>
    <mergeCell ref="E206:E207"/>
    <mergeCell ref="D216:D217"/>
    <mergeCell ref="E216:E217"/>
    <mergeCell ref="A204:A207"/>
    <mergeCell ref="A209:A212"/>
    <mergeCell ref="D211:D212"/>
    <mergeCell ref="E211:E212"/>
    <mergeCell ref="F211:F212"/>
    <mergeCell ref="G211:G212"/>
    <mergeCell ref="A214:A217"/>
    <mergeCell ref="F216:F217"/>
    <mergeCell ref="G216:G217"/>
    <mergeCell ref="C206:C207"/>
    <mergeCell ref="D206:D207"/>
    <mergeCell ref="F206:F207"/>
    <mergeCell ref="G206:G207"/>
    <mergeCell ref="A221:BJ221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Y227:Y228"/>
    <mergeCell ref="Z227:Z228"/>
    <mergeCell ref="AW227:AW228"/>
    <mergeCell ref="AX227:AX228"/>
    <mergeCell ref="AY227:AY228"/>
    <mergeCell ref="BG227:BG228"/>
    <mergeCell ref="BH227:BH228"/>
    <mergeCell ref="BI227:BI228"/>
    <mergeCell ref="BJ227:BJ228"/>
    <mergeCell ref="AZ227:AZ228"/>
    <mergeCell ref="BA227:BA228"/>
    <mergeCell ref="BB227:BB228"/>
    <mergeCell ref="BC227:BC228"/>
    <mergeCell ref="BD227:BD228"/>
    <mergeCell ref="BE227:BE228"/>
    <mergeCell ref="BF227:BF228"/>
    <mergeCell ref="AC227:AC228"/>
    <mergeCell ref="AD227:AD228"/>
    <mergeCell ref="AE227:AE228"/>
    <mergeCell ref="AF227:AF228"/>
    <mergeCell ref="AG227:AG228"/>
    <mergeCell ref="AH227:AH228"/>
    <mergeCell ref="U324:U325"/>
    <mergeCell ref="V324:V325"/>
    <mergeCell ref="W324:W325"/>
    <mergeCell ref="X324:X325"/>
    <mergeCell ref="Y324:Y325"/>
    <mergeCell ref="Z324:Z325"/>
    <mergeCell ref="AA324:AA325"/>
    <mergeCell ref="AB324:AB325"/>
    <mergeCell ref="AC324:AC325"/>
    <mergeCell ref="AD324:AD325"/>
    <mergeCell ref="AB237:AB238"/>
    <mergeCell ref="V237:V238"/>
    <mergeCell ref="C211:C212"/>
    <mergeCell ref="C216:C217"/>
    <mergeCell ref="A225:A228"/>
    <mergeCell ref="C227:C228"/>
    <mergeCell ref="D227:D228"/>
    <mergeCell ref="E227:E228"/>
    <mergeCell ref="F227:F228"/>
    <mergeCell ref="M216:M217"/>
    <mergeCell ref="N216:N217"/>
    <mergeCell ref="O216:O217"/>
    <mergeCell ref="P216:P217"/>
    <mergeCell ref="Q216:Q217"/>
    <mergeCell ref="R216:R217"/>
    <mergeCell ref="X227:X228"/>
    <mergeCell ref="S216:S217"/>
    <mergeCell ref="T216:T217"/>
    <mergeCell ref="U216:U217"/>
    <mergeCell ref="V216:V217"/>
    <mergeCell ref="W216:W217"/>
    <mergeCell ref="X216:X217"/>
    <mergeCell ref="M319:M320"/>
    <mergeCell ref="N319:N320"/>
    <mergeCell ref="D319:D320"/>
    <mergeCell ref="E319:E320"/>
    <mergeCell ref="D324:D325"/>
    <mergeCell ref="E324:E325"/>
    <mergeCell ref="F324:F325"/>
    <mergeCell ref="G324:G325"/>
    <mergeCell ref="H324:H325"/>
    <mergeCell ref="O319:O320"/>
    <mergeCell ref="AS324:AS325"/>
    <mergeCell ref="AT324:AT325"/>
    <mergeCell ref="AU324:AU325"/>
    <mergeCell ref="AV324:AV325"/>
    <mergeCell ref="AW324:AW325"/>
    <mergeCell ref="AX324:AX325"/>
    <mergeCell ref="AY324:AY325"/>
    <mergeCell ref="AE324:AE325"/>
    <mergeCell ref="AF324:AF325"/>
    <mergeCell ref="AG324:AG325"/>
    <mergeCell ref="AH324:AH325"/>
    <mergeCell ref="AI324:AI325"/>
    <mergeCell ref="AJ324:AJ325"/>
    <mergeCell ref="AK324:AK325"/>
    <mergeCell ref="AL324:AL325"/>
    <mergeCell ref="AM324:AM325"/>
    <mergeCell ref="AN324:AN325"/>
    <mergeCell ref="AO324:AO325"/>
    <mergeCell ref="AP324:AP325"/>
    <mergeCell ref="AQ324:AQ325"/>
    <mergeCell ref="AR324:AR325"/>
    <mergeCell ref="Q324:Q325"/>
    <mergeCell ref="C319:C320"/>
    <mergeCell ref="A322:A325"/>
    <mergeCell ref="C324:C325"/>
    <mergeCell ref="F319:F320"/>
    <mergeCell ref="G319:G320"/>
    <mergeCell ref="D314:D315"/>
    <mergeCell ref="F314:F315"/>
    <mergeCell ref="G314:G315"/>
    <mergeCell ref="H314:H315"/>
    <mergeCell ref="I314:I315"/>
    <mergeCell ref="J314:J315"/>
    <mergeCell ref="A317:A320"/>
    <mergeCell ref="J319:J320"/>
    <mergeCell ref="H319:H320"/>
    <mergeCell ref="I319:I320"/>
    <mergeCell ref="K319:K320"/>
    <mergeCell ref="L319:L320"/>
    <mergeCell ref="BH335:BH336"/>
    <mergeCell ref="BI335:BI336"/>
    <mergeCell ref="BJ335:BJ336"/>
    <mergeCell ref="AX335:AX336"/>
    <mergeCell ref="AY335:AY336"/>
    <mergeCell ref="AZ335:AZ336"/>
    <mergeCell ref="BA335:BA336"/>
    <mergeCell ref="BB335:BB336"/>
    <mergeCell ref="BC335:BC336"/>
    <mergeCell ref="BD335:BD336"/>
    <mergeCell ref="P319:P320"/>
    <mergeCell ref="Q319:Q320"/>
    <mergeCell ref="R319:R320"/>
    <mergeCell ref="S319:S320"/>
    <mergeCell ref="T319:T320"/>
    <mergeCell ref="U319:U320"/>
    <mergeCell ref="AG335:AG336"/>
    <mergeCell ref="AH335:AH336"/>
    <mergeCell ref="AI335:AI336"/>
    <mergeCell ref="AJ335:AJ336"/>
    <mergeCell ref="AK335:AK336"/>
    <mergeCell ref="AL335:AL336"/>
    <mergeCell ref="AM335:AM336"/>
    <mergeCell ref="AN335:AN336"/>
    <mergeCell ref="AO335:AO336"/>
    <mergeCell ref="AP335:AP336"/>
    <mergeCell ref="Q335:Q336"/>
    <mergeCell ref="R335:R336"/>
    <mergeCell ref="S335:S336"/>
    <mergeCell ref="T335:T336"/>
    <mergeCell ref="U335:U336"/>
    <mergeCell ref="V335:V336"/>
    <mergeCell ref="AQ335:AQ336"/>
    <mergeCell ref="AR335:AR336"/>
    <mergeCell ref="AS335:AS336"/>
    <mergeCell ref="AT335:AT336"/>
    <mergeCell ref="AU335:AU336"/>
    <mergeCell ref="AV335:AV336"/>
    <mergeCell ref="AW335:AW336"/>
    <mergeCell ref="BE335:BE336"/>
    <mergeCell ref="BF335:BF336"/>
    <mergeCell ref="BG335:BG336"/>
    <mergeCell ref="W335:W336"/>
    <mergeCell ref="X335:X336"/>
    <mergeCell ref="Y335:Y336"/>
    <mergeCell ref="Z335:Z336"/>
    <mergeCell ref="AA335:AA336"/>
    <mergeCell ref="BF340:BF341"/>
    <mergeCell ref="BG340:BG341"/>
    <mergeCell ref="AB335:AB336"/>
    <mergeCell ref="AC335:AC336"/>
    <mergeCell ref="AD335:AD336"/>
    <mergeCell ref="AE335:AE336"/>
    <mergeCell ref="AF335:AF336"/>
    <mergeCell ref="AG340:AG341"/>
    <mergeCell ref="AH340:AH341"/>
    <mergeCell ref="AI340:AI341"/>
    <mergeCell ref="AJ340:AJ341"/>
    <mergeCell ref="AK340:AK341"/>
    <mergeCell ref="AL340:AL341"/>
    <mergeCell ref="AM340:AM341"/>
    <mergeCell ref="AN340:AN341"/>
    <mergeCell ref="AO340:AO341"/>
    <mergeCell ref="AP340:AP341"/>
    <mergeCell ref="AQ340:AQ341"/>
    <mergeCell ref="AR340:AR341"/>
    <mergeCell ref="AS340:AS341"/>
    <mergeCell ref="V340:V341"/>
    <mergeCell ref="W340:W341"/>
    <mergeCell ref="X340:X341"/>
    <mergeCell ref="Y340:Y341"/>
    <mergeCell ref="Z340:Z341"/>
    <mergeCell ref="AA340:AA341"/>
    <mergeCell ref="AB340:AB341"/>
    <mergeCell ref="AQ345:AQ346"/>
    <mergeCell ref="AR345:AR346"/>
    <mergeCell ref="AS345:AS346"/>
    <mergeCell ref="AT345:AT346"/>
    <mergeCell ref="AU345:AU346"/>
    <mergeCell ref="AT340:AT341"/>
    <mergeCell ref="AU340:AU341"/>
    <mergeCell ref="BC340:BC341"/>
    <mergeCell ref="BD340:BD341"/>
    <mergeCell ref="BE340:BE341"/>
    <mergeCell ref="AV345:AV346"/>
    <mergeCell ref="AW345:AW346"/>
    <mergeCell ref="AX345:AX346"/>
    <mergeCell ref="AY345:AY346"/>
    <mergeCell ref="BH340:BH341"/>
    <mergeCell ref="BI340:BI341"/>
    <mergeCell ref="BJ340:BJ341"/>
    <mergeCell ref="AV340:AV341"/>
    <mergeCell ref="AW340:AW341"/>
    <mergeCell ref="AX340:AX341"/>
    <mergeCell ref="AY340:AY341"/>
    <mergeCell ref="AZ340:AZ341"/>
    <mergeCell ref="BA340:BA341"/>
    <mergeCell ref="BB340:BB341"/>
    <mergeCell ref="BC345:BC346"/>
    <mergeCell ref="BD345:BD346"/>
    <mergeCell ref="BE345:BE346"/>
    <mergeCell ref="BF345:BF346"/>
    <mergeCell ref="C350:C351"/>
    <mergeCell ref="D350:D351"/>
    <mergeCell ref="F350:F351"/>
    <mergeCell ref="G350:G351"/>
    <mergeCell ref="H350:H351"/>
    <mergeCell ref="I350:I351"/>
    <mergeCell ref="J350:J351"/>
    <mergeCell ref="K350:K351"/>
    <mergeCell ref="L350:L351"/>
    <mergeCell ref="AI350:AI351"/>
    <mergeCell ref="AJ350:AJ351"/>
    <mergeCell ref="AK350:AK351"/>
    <mergeCell ref="AL350:AL351"/>
    <mergeCell ref="AM350:AM351"/>
    <mergeCell ref="AN350:AN351"/>
    <mergeCell ref="AO350:AO351"/>
    <mergeCell ref="AI345:AI346"/>
    <mergeCell ref="AS350:AS351"/>
    <mergeCell ref="AT350:AT351"/>
    <mergeCell ref="AU350:AU351"/>
    <mergeCell ref="AV350:AV351"/>
    <mergeCell ref="AJ345:AJ346"/>
    <mergeCell ref="AK345:AK346"/>
    <mergeCell ref="AL345:AL346"/>
    <mergeCell ref="AM345:AM346"/>
    <mergeCell ref="AN345:AN346"/>
    <mergeCell ref="AO345:AO346"/>
    <mergeCell ref="AP345:AP346"/>
    <mergeCell ref="AW350:AW351"/>
    <mergeCell ref="BE350:BE351"/>
    <mergeCell ref="BF350:BF351"/>
    <mergeCell ref="BG350:BG351"/>
    <mergeCell ref="BH350:BH351"/>
    <mergeCell ref="BI350:BI351"/>
    <mergeCell ref="BJ350:BJ351"/>
    <mergeCell ref="AX350:AX351"/>
    <mergeCell ref="AY350:AY351"/>
    <mergeCell ref="AZ350:AZ351"/>
    <mergeCell ref="BA350:BA351"/>
    <mergeCell ref="BB350:BB351"/>
    <mergeCell ref="BC350:BC351"/>
    <mergeCell ref="BD350:BD351"/>
    <mergeCell ref="AC340:AC341"/>
    <mergeCell ref="AD340:AD341"/>
    <mergeCell ref="AE340:AE341"/>
    <mergeCell ref="AF340:AF341"/>
    <mergeCell ref="AE345:AE346"/>
    <mergeCell ref="AF345:AF346"/>
    <mergeCell ref="AG345:AG346"/>
    <mergeCell ref="AH345:AH346"/>
    <mergeCell ref="AP350:AP351"/>
    <mergeCell ref="AQ350:AQ351"/>
    <mergeCell ref="AR350:AR351"/>
    <mergeCell ref="BG345:BG346"/>
    <mergeCell ref="BH345:BH346"/>
    <mergeCell ref="BI345:BI346"/>
    <mergeCell ref="BJ345:BJ346"/>
    <mergeCell ref="AZ345:AZ346"/>
    <mergeCell ref="BA345:BA346"/>
    <mergeCell ref="BB345:BB346"/>
    <mergeCell ref="O324:O325"/>
    <mergeCell ref="P324:P325"/>
    <mergeCell ref="I324:I325"/>
    <mergeCell ref="J324:J325"/>
    <mergeCell ref="K324:K325"/>
    <mergeCell ref="L324:L325"/>
    <mergeCell ref="M324:M325"/>
    <mergeCell ref="N324:N325"/>
    <mergeCell ref="I335:I336"/>
    <mergeCell ref="J335:J336"/>
    <mergeCell ref="K335:K336"/>
    <mergeCell ref="L335:L336"/>
    <mergeCell ref="M335:M336"/>
    <mergeCell ref="N335:N336"/>
    <mergeCell ref="O335:O336"/>
    <mergeCell ref="P335:P336"/>
    <mergeCell ref="T340:T341"/>
    <mergeCell ref="A329:BJ329"/>
    <mergeCell ref="BG324:BG325"/>
    <mergeCell ref="BH324:BH325"/>
    <mergeCell ref="BI324:BI325"/>
    <mergeCell ref="BJ324:BJ325"/>
    <mergeCell ref="AZ324:AZ325"/>
    <mergeCell ref="BA324:BA325"/>
    <mergeCell ref="BB324:BB325"/>
    <mergeCell ref="BC324:BC325"/>
    <mergeCell ref="BD324:BD325"/>
    <mergeCell ref="BE324:BE325"/>
    <mergeCell ref="BF324:BF325"/>
    <mergeCell ref="R324:R325"/>
    <mergeCell ref="S324:S325"/>
    <mergeCell ref="T324:T325"/>
    <mergeCell ref="U340:U341"/>
    <mergeCell ref="N340:N341"/>
    <mergeCell ref="O340:O341"/>
    <mergeCell ref="P340:P341"/>
    <mergeCell ref="Q340:Q341"/>
    <mergeCell ref="R340:R341"/>
    <mergeCell ref="T345:T346"/>
    <mergeCell ref="U345:U346"/>
    <mergeCell ref="V345:V346"/>
    <mergeCell ref="W345:W346"/>
    <mergeCell ref="AC350:AC351"/>
    <mergeCell ref="AD350:AD351"/>
    <mergeCell ref="AA350:AA351"/>
    <mergeCell ref="AB350:AB351"/>
    <mergeCell ref="U350:U351"/>
    <mergeCell ref="V350:V351"/>
    <mergeCell ref="W350:W351"/>
    <mergeCell ref="X350:X351"/>
    <mergeCell ref="Y350:Y351"/>
    <mergeCell ref="Z350:Z351"/>
    <mergeCell ref="Q345:Q346"/>
    <mergeCell ref="R345:R346"/>
    <mergeCell ref="S345:S346"/>
    <mergeCell ref="N350:N351"/>
    <mergeCell ref="O350:O351"/>
    <mergeCell ref="P350:P351"/>
    <mergeCell ref="Q350:Q351"/>
    <mergeCell ref="AC345:AC346"/>
    <mergeCell ref="AD345:AD346"/>
    <mergeCell ref="R350:R351"/>
    <mergeCell ref="A333:A336"/>
    <mergeCell ref="D335:D336"/>
    <mergeCell ref="E335:E336"/>
    <mergeCell ref="F335:F336"/>
    <mergeCell ref="G335:G336"/>
    <mergeCell ref="H335:H336"/>
    <mergeCell ref="A338:A341"/>
    <mergeCell ref="H340:H341"/>
    <mergeCell ref="F340:F341"/>
    <mergeCell ref="G340:G341"/>
    <mergeCell ref="F345:F346"/>
    <mergeCell ref="G345:G346"/>
    <mergeCell ref="H345:H346"/>
    <mergeCell ref="I345:I346"/>
    <mergeCell ref="J345:J346"/>
    <mergeCell ref="S350:S351"/>
    <mergeCell ref="T350:T351"/>
    <mergeCell ref="M350:M351"/>
    <mergeCell ref="C335:C336"/>
    <mergeCell ref="C340:C341"/>
    <mergeCell ref="A343:A346"/>
    <mergeCell ref="C345:C346"/>
    <mergeCell ref="D345:D346"/>
    <mergeCell ref="E345:E346"/>
    <mergeCell ref="A348:A351"/>
    <mergeCell ref="E350:E351"/>
    <mergeCell ref="K345:K346"/>
    <mergeCell ref="L345:L346"/>
    <mergeCell ref="M345:M346"/>
    <mergeCell ref="N345:N346"/>
    <mergeCell ref="O345:O346"/>
    <mergeCell ref="P345:P346"/>
    <mergeCell ref="D340:D341"/>
    <mergeCell ref="E340:E341"/>
    <mergeCell ref="I340:I341"/>
    <mergeCell ref="J340:J341"/>
    <mergeCell ref="K340:K341"/>
    <mergeCell ref="L340:L341"/>
    <mergeCell ref="M340:M341"/>
    <mergeCell ref="S340:S341"/>
    <mergeCell ref="AS355:AS356"/>
    <mergeCell ref="AT355:AT356"/>
    <mergeCell ref="AU355:AU356"/>
    <mergeCell ref="AV355:AV356"/>
    <mergeCell ref="AW355:AW356"/>
    <mergeCell ref="BE355:BE356"/>
    <mergeCell ref="AE350:AE351"/>
    <mergeCell ref="AF350:AF351"/>
    <mergeCell ref="AG350:AG351"/>
    <mergeCell ref="AH350:AH351"/>
    <mergeCell ref="X345:X346"/>
    <mergeCell ref="Y345:Y346"/>
    <mergeCell ref="Z345:Z346"/>
    <mergeCell ref="AA345:AA346"/>
    <mergeCell ref="AB345:AB346"/>
    <mergeCell ref="AG355:AG356"/>
    <mergeCell ref="AH355:AH356"/>
    <mergeCell ref="AI355:AI356"/>
    <mergeCell ref="AJ355:AJ356"/>
    <mergeCell ref="AK355:AK356"/>
    <mergeCell ref="X355:X356"/>
    <mergeCell ref="Y355:Y356"/>
    <mergeCell ref="Z355:Z356"/>
    <mergeCell ref="AA355:AA356"/>
    <mergeCell ref="BG355:BG356"/>
    <mergeCell ref="BH355:BH356"/>
    <mergeCell ref="BI355:BI356"/>
    <mergeCell ref="BJ355:BJ356"/>
    <mergeCell ref="AX355:AX356"/>
    <mergeCell ref="AY355:AY356"/>
    <mergeCell ref="AZ355:AZ356"/>
    <mergeCell ref="BA355:BA356"/>
    <mergeCell ref="BB355:BB356"/>
    <mergeCell ref="BC355:BC356"/>
    <mergeCell ref="BD355:BD356"/>
    <mergeCell ref="T360:T361"/>
    <mergeCell ref="U360:U361"/>
    <mergeCell ref="N360:N361"/>
    <mergeCell ref="O360:O361"/>
    <mergeCell ref="P360:P361"/>
    <mergeCell ref="Q360:Q361"/>
    <mergeCell ref="R360:R361"/>
    <mergeCell ref="S360:S361"/>
    <mergeCell ref="AB360:AB361"/>
    <mergeCell ref="V360:V361"/>
    <mergeCell ref="W360:W361"/>
    <mergeCell ref="X360:X361"/>
    <mergeCell ref="Y360:Y361"/>
    <mergeCell ref="Z360:Z361"/>
    <mergeCell ref="AA360:AA361"/>
    <mergeCell ref="AC360:AC361"/>
    <mergeCell ref="AD360:AD361"/>
    <mergeCell ref="AL355:AL356"/>
    <mergeCell ref="AM355:AM356"/>
    <mergeCell ref="AN355:AN356"/>
    <mergeCell ref="BG360:BG361"/>
    <mergeCell ref="BH360:BH361"/>
    <mergeCell ref="BI360:BI361"/>
    <mergeCell ref="BJ360:BJ361"/>
    <mergeCell ref="AZ360:AZ361"/>
    <mergeCell ref="BA360:BA361"/>
    <mergeCell ref="BB360:BB361"/>
    <mergeCell ref="BC360:BC361"/>
    <mergeCell ref="BD360:BD361"/>
    <mergeCell ref="BE360:BE361"/>
    <mergeCell ref="BF360:BF361"/>
    <mergeCell ref="AE360:AE361"/>
    <mergeCell ref="AF360:AF361"/>
    <mergeCell ref="AG360:AG361"/>
    <mergeCell ref="AH360:AH361"/>
    <mergeCell ref="AI360:AI361"/>
    <mergeCell ref="AJ360:AJ361"/>
    <mergeCell ref="AK360:AK361"/>
    <mergeCell ref="AL360:AL361"/>
    <mergeCell ref="AM360:AM361"/>
    <mergeCell ref="AN360:AN361"/>
    <mergeCell ref="AO360:AO361"/>
    <mergeCell ref="AP360:AP361"/>
    <mergeCell ref="AQ360:AQ361"/>
    <mergeCell ref="AU371:AU372"/>
    <mergeCell ref="BC371:BC372"/>
    <mergeCell ref="BD371:BD372"/>
    <mergeCell ref="BE371:BE372"/>
    <mergeCell ref="BF371:BF372"/>
    <mergeCell ref="I355:I356"/>
    <mergeCell ref="J355:J356"/>
    <mergeCell ref="K355:K356"/>
    <mergeCell ref="L355:L356"/>
    <mergeCell ref="M355:M356"/>
    <mergeCell ref="N355:N356"/>
    <mergeCell ref="O355:O356"/>
    <mergeCell ref="P355:P356"/>
    <mergeCell ref="Q355:Q356"/>
    <mergeCell ref="R355:R356"/>
    <mergeCell ref="S355:S356"/>
    <mergeCell ref="T355:T356"/>
    <mergeCell ref="U355:U356"/>
    <mergeCell ref="V355:V356"/>
    <mergeCell ref="W355:W356"/>
    <mergeCell ref="AR360:AR361"/>
    <mergeCell ref="AO355:AO356"/>
    <mergeCell ref="AP355:AP356"/>
    <mergeCell ref="AQ355:AQ356"/>
    <mergeCell ref="AR355:AR356"/>
    <mergeCell ref="AB355:AB356"/>
    <mergeCell ref="AC355:AC356"/>
    <mergeCell ref="AD355:AD356"/>
    <mergeCell ref="AE355:AE356"/>
    <mergeCell ref="AF355:AF356"/>
    <mergeCell ref="AY360:AY361"/>
    <mergeCell ref="BF355:BF356"/>
    <mergeCell ref="BG371:BG372"/>
    <mergeCell ref="BH371:BH372"/>
    <mergeCell ref="BI371:BI372"/>
    <mergeCell ref="BJ371:BJ372"/>
    <mergeCell ref="AV371:AV372"/>
    <mergeCell ref="AW371:AW372"/>
    <mergeCell ref="AX371:AX372"/>
    <mergeCell ref="AY371:AY372"/>
    <mergeCell ref="AZ371:AZ372"/>
    <mergeCell ref="BA371:BA372"/>
    <mergeCell ref="BB371:BB372"/>
    <mergeCell ref="D360:D361"/>
    <mergeCell ref="E360:E361"/>
    <mergeCell ref="I360:I361"/>
    <mergeCell ref="J360:J361"/>
    <mergeCell ref="K360:K361"/>
    <mergeCell ref="L360:L361"/>
    <mergeCell ref="M360:M361"/>
    <mergeCell ref="A365:BJ365"/>
    <mergeCell ref="AQ371:AQ372"/>
    <mergeCell ref="AR371:AR372"/>
    <mergeCell ref="AS360:AS361"/>
    <mergeCell ref="AT360:AT361"/>
    <mergeCell ref="AU360:AU361"/>
    <mergeCell ref="AV360:AV361"/>
    <mergeCell ref="AW360:AW361"/>
    <mergeCell ref="AX360:AX361"/>
    <mergeCell ref="C371:C372"/>
    <mergeCell ref="AE371:AE372"/>
    <mergeCell ref="AF371:AF372"/>
    <mergeCell ref="AG371:AG372"/>
    <mergeCell ref="AH371:AH372"/>
    <mergeCell ref="V376:V377"/>
    <mergeCell ref="W376:W377"/>
    <mergeCell ref="X376:X377"/>
    <mergeCell ref="Y376:Y377"/>
    <mergeCell ref="Z376:Z377"/>
    <mergeCell ref="AA376:AA377"/>
    <mergeCell ref="AB376:AB377"/>
    <mergeCell ref="AS371:AS372"/>
    <mergeCell ref="AT371:AT372"/>
    <mergeCell ref="R371:R372"/>
    <mergeCell ref="S371:S372"/>
    <mergeCell ref="T371:T372"/>
    <mergeCell ref="U371:U372"/>
    <mergeCell ref="V371:V372"/>
    <mergeCell ref="W371:W372"/>
    <mergeCell ref="X371:X372"/>
    <mergeCell ref="Y371:Y372"/>
    <mergeCell ref="AI371:AI372"/>
    <mergeCell ref="AJ371:AJ372"/>
    <mergeCell ref="AK371:AK372"/>
    <mergeCell ref="AL371:AL372"/>
    <mergeCell ref="AM371:AM372"/>
    <mergeCell ref="AN371:AN372"/>
    <mergeCell ref="AO371:AO372"/>
    <mergeCell ref="AP371:AP372"/>
    <mergeCell ref="AU376:AU377"/>
    <mergeCell ref="AV376:AV377"/>
    <mergeCell ref="AW376:AW377"/>
    <mergeCell ref="AX376:AX377"/>
    <mergeCell ref="AY376:AY377"/>
    <mergeCell ref="AZ376:AZ377"/>
    <mergeCell ref="BH376:BH377"/>
    <mergeCell ref="BI376:BI377"/>
    <mergeCell ref="BJ376:BJ377"/>
    <mergeCell ref="BA376:BA377"/>
    <mergeCell ref="BB376:BB377"/>
    <mergeCell ref="BC376:BC377"/>
    <mergeCell ref="BD376:BD377"/>
    <mergeCell ref="BE376:BE377"/>
    <mergeCell ref="BF376:BF377"/>
    <mergeCell ref="BG376:BG377"/>
    <mergeCell ref="AE376:AE377"/>
    <mergeCell ref="AF376:AF377"/>
    <mergeCell ref="AG376:AG377"/>
    <mergeCell ref="AH376:AH377"/>
    <mergeCell ref="AI376:AI377"/>
    <mergeCell ref="AJ376:AJ377"/>
    <mergeCell ref="AK376:AK377"/>
    <mergeCell ref="AL376:AL377"/>
    <mergeCell ref="AM376:AM377"/>
    <mergeCell ref="AN376:AN377"/>
    <mergeCell ref="AO376:AO377"/>
    <mergeCell ref="AP376:AP377"/>
    <mergeCell ref="AQ376:AQ377"/>
    <mergeCell ref="AB381:AB382"/>
    <mergeCell ref="AC381:AC382"/>
    <mergeCell ref="AD381:AD382"/>
    <mergeCell ref="AE381:AE382"/>
    <mergeCell ref="AF381:AF382"/>
    <mergeCell ref="AG381:AG382"/>
    <mergeCell ref="AH381:AH382"/>
    <mergeCell ref="AI381:AI382"/>
    <mergeCell ref="AJ381:AJ382"/>
    <mergeCell ref="AK381:AK382"/>
    <mergeCell ref="AL381:AL382"/>
    <mergeCell ref="AM381:AM382"/>
    <mergeCell ref="AN381:AN382"/>
    <mergeCell ref="AO381:AO382"/>
    <mergeCell ref="AR376:AR377"/>
    <mergeCell ref="AS376:AS377"/>
    <mergeCell ref="AT376:AT377"/>
    <mergeCell ref="AQ381:AQ382"/>
    <mergeCell ref="AR381:AR382"/>
    <mergeCell ref="AS381:AS382"/>
    <mergeCell ref="AT381:AT382"/>
    <mergeCell ref="AU381:AU382"/>
    <mergeCell ref="AV381:AV382"/>
    <mergeCell ref="AW381:AW382"/>
    <mergeCell ref="BE381:BE382"/>
    <mergeCell ref="BF381:BF382"/>
    <mergeCell ref="BG381:BG382"/>
    <mergeCell ref="BH381:BH382"/>
    <mergeCell ref="BI381:BI382"/>
    <mergeCell ref="BJ381:BJ382"/>
    <mergeCell ref="AX381:AX382"/>
    <mergeCell ref="AY381:AY382"/>
    <mergeCell ref="AZ381:AZ382"/>
    <mergeCell ref="BA381:BA382"/>
    <mergeCell ref="BB381:BB382"/>
    <mergeCell ref="BC381:BC382"/>
    <mergeCell ref="BD381:BD382"/>
    <mergeCell ref="AJ386:AJ387"/>
    <mergeCell ref="AK386:AK387"/>
    <mergeCell ref="AL386:AL387"/>
    <mergeCell ref="AM386:AM387"/>
    <mergeCell ref="AN386:AN387"/>
    <mergeCell ref="AO386:AO387"/>
    <mergeCell ref="AP386:AP387"/>
    <mergeCell ref="AP381:AP382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C381:C382"/>
    <mergeCell ref="C386:C387"/>
    <mergeCell ref="F386:F387"/>
    <mergeCell ref="G386:G387"/>
    <mergeCell ref="A379:A382"/>
    <mergeCell ref="D381:D382"/>
    <mergeCell ref="E381:E382"/>
    <mergeCell ref="F381:F382"/>
    <mergeCell ref="G381:G382"/>
    <mergeCell ref="H381:H382"/>
    <mergeCell ref="A384:A387"/>
    <mergeCell ref="H386:H387"/>
    <mergeCell ref="N386:N387"/>
    <mergeCell ref="O386:O387"/>
    <mergeCell ref="P386:P387"/>
    <mergeCell ref="Q386:Q387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AZ386:AZ387"/>
    <mergeCell ref="BH386:BH387"/>
    <mergeCell ref="BI386:BI387"/>
    <mergeCell ref="BJ386:BJ387"/>
    <mergeCell ref="BA386:BA387"/>
    <mergeCell ref="BB386:BB387"/>
    <mergeCell ref="BC386:BC387"/>
    <mergeCell ref="BD386:BD387"/>
    <mergeCell ref="BE386:BE387"/>
    <mergeCell ref="BF386:BF387"/>
    <mergeCell ref="BG386:BG387"/>
    <mergeCell ref="R386:R387"/>
    <mergeCell ref="S386:S387"/>
    <mergeCell ref="T386:T387"/>
    <mergeCell ref="U386:U387"/>
    <mergeCell ref="AE386:AE387"/>
    <mergeCell ref="AF386:AF387"/>
    <mergeCell ref="AG386:AG387"/>
    <mergeCell ref="AH386:AH387"/>
    <mergeCell ref="AI386:AI387"/>
    <mergeCell ref="E376:E377"/>
    <mergeCell ref="I376:I377"/>
    <mergeCell ref="J376:J377"/>
    <mergeCell ref="K376:K377"/>
    <mergeCell ref="L376:L377"/>
    <mergeCell ref="M376:M377"/>
    <mergeCell ref="AC376:AC377"/>
    <mergeCell ref="AD376:AD377"/>
    <mergeCell ref="Z371:Z372"/>
    <mergeCell ref="AA371:AA372"/>
    <mergeCell ref="AB371:AB372"/>
    <mergeCell ref="AC371:AC372"/>
    <mergeCell ref="AD371:AD372"/>
    <mergeCell ref="G371:G372"/>
    <mergeCell ref="H371:H372"/>
    <mergeCell ref="I371:I372"/>
    <mergeCell ref="J371:J372"/>
    <mergeCell ref="K371:K372"/>
    <mergeCell ref="L371:L372"/>
    <mergeCell ref="M371:M372"/>
    <mergeCell ref="N371:N372"/>
    <mergeCell ref="O371:O372"/>
    <mergeCell ref="P371:P372"/>
    <mergeCell ref="Q371:Q372"/>
    <mergeCell ref="T376:T377"/>
    <mergeCell ref="U376:U377"/>
    <mergeCell ref="N376:N377"/>
    <mergeCell ref="O376:O377"/>
    <mergeCell ref="P376:P377"/>
    <mergeCell ref="Q376:Q377"/>
    <mergeCell ref="R376:R377"/>
    <mergeCell ref="S376:S377"/>
    <mergeCell ref="AB386:AB387"/>
    <mergeCell ref="AC386:AC387"/>
    <mergeCell ref="AD386:AD387"/>
    <mergeCell ref="V386:V387"/>
    <mergeCell ref="W386:W387"/>
    <mergeCell ref="X386:X387"/>
    <mergeCell ref="Y386:Y387"/>
    <mergeCell ref="Z386:Z387"/>
    <mergeCell ref="AA386:AA387"/>
    <mergeCell ref="I381:I382"/>
    <mergeCell ref="A353:A356"/>
    <mergeCell ref="D355:D356"/>
    <mergeCell ref="E355:E356"/>
    <mergeCell ref="F355:F356"/>
    <mergeCell ref="G355:G356"/>
    <mergeCell ref="H355:H356"/>
    <mergeCell ref="A358:A361"/>
    <mergeCell ref="H360:H361"/>
    <mergeCell ref="F376:F377"/>
    <mergeCell ref="G376:G377"/>
    <mergeCell ref="H376:H377"/>
    <mergeCell ref="C355:C356"/>
    <mergeCell ref="C360:C361"/>
    <mergeCell ref="A369:A372"/>
    <mergeCell ref="D371:D372"/>
    <mergeCell ref="E371:E372"/>
    <mergeCell ref="F371:F372"/>
    <mergeCell ref="A374:A377"/>
    <mergeCell ref="F360:F361"/>
    <mergeCell ref="G360:G361"/>
    <mergeCell ref="C376:C377"/>
    <mergeCell ref="D376:D377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Z381:Z382"/>
    <mergeCell ref="AA381:AA382"/>
    <mergeCell ref="D386:D387"/>
    <mergeCell ref="E386:E387"/>
    <mergeCell ref="I386:I387"/>
    <mergeCell ref="J386:J387"/>
    <mergeCell ref="K386:K387"/>
    <mergeCell ref="L386:L387"/>
    <mergeCell ref="M386:M387"/>
    <mergeCell ref="C391:C392"/>
    <mergeCell ref="C396:C397"/>
    <mergeCell ref="F396:F397"/>
    <mergeCell ref="G396:G397"/>
    <mergeCell ref="A389:A392"/>
    <mergeCell ref="D391:D392"/>
    <mergeCell ref="E391:E392"/>
    <mergeCell ref="F391:F392"/>
    <mergeCell ref="G391:G392"/>
    <mergeCell ref="H391:H392"/>
    <mergeCell ref="A394:A397"/>
    <mergeCell ref="H396:H397"/>
    <mergeCell ref="T396:T397"/>
    <mergeCell ref="U396:U397"/>
    <mergeCell ref="N396:N397"/>
    <mergeCell ref="O396:O397"/>
    <mergeCell ref="P396:P397"/>
    <mergeCell ref="Q396:Q397"/>
    <mergeCell ref="R396:R397"/>
    <mergeCell ref="S396:S397"/>
    <mergeCell ref="I391:I392"/>
    <mergeCell ref="J391:J392"/>
    <mergeCell ref="K391:K392"/>
    <mergeCell ref="L391:L392"/>
    <mergeCell ref="M391:M392"/>
    <mergeCell ref="N391:N392"/>
    <mergeCell ref="O391:O392"/>
    <mergeCell ref="P391:P392"/>
    <mergeCell ref="Q391:Q392"/>
    <mergeCell ref="R391:R392"/>
    <mergeCell ref="D396:D397"/>
    <mergeCell ref="E396:E397"/>
    <mergeCell ref="AZ396:AZ397"/>
    <mergeCell ref="BA396:BA397"/>
    <mergeCell ref="BB396:BB397"/>
    <mergeCell ref="BC396:BC397"/>
    <mergeCell ref="BD396:BD397"/>
    <mergeCell ref="BE396:BE397"/>
    <mergeCell ref="BF396:BF397"/>
    <mergeCell ref="V396:V397"/>
    <mergeCell ref="W396:W397"/>
    <mergeCell ref="X396:X397"/>
    <mergeCell ref="Y396:Y397"/>
    <mergeCell ref="Z396:Z397"/>
    <mergeCell ref="AA396:AA397"/>
    <mergeCell ref="AB396:AB397"/>
    <mergeCell ref="AK396:AK397"/>
    <mergeCell ref="AL396:AL397"/>
    <mergeCell ref="AM396:AM397"/>
    <mergeCell ref="AN396:AN397"/>
    <mergeCell ref="AO396:AO397"/>
    <mergeCell ref="AP396:AP397"/>
    <mergeCell ref="AI396:AI397"/>
    <mergeCell ref="AJ396:AJ397"/>
    <mergeCell ref="AG396:AG397"/>
    <mergeCell ref="AH396:AH397"/>
    <mergeCell ref="I422:I423"/>
    <mergeCell ref="J422:J423"/>
    <mergeCell ref="K422:K423"/>
    <mergeCell ref="L422:L423"/>
    <mergeCell ref="M422:M423"/>
    <mergeCell ref="N422:N423"/>
    <mergeCell ref="O422:O423"/>
    <mergeCell ref="AQ396:AQ397"/>
    <mergeCell ref="AR396:AR397"/>
    <mergeCell ref="AS396:AS397"/>
    <mergeCell ref="AT396:AT397"/>
    <mergeCell ref="AU396:AU397"/>
    <mergeCell ref="AL417:AL418"/>
    <mergeCell ref="AM417:AM418"/>
    <mergeCell ref="AN417:AN418"/>
    <mergeCell ref="Q407:Q408"/>
    <mergeCell ref="R407:R408"/>
    <mergeCell ref="O417:O418"/>
    <mergeCell ref="P417:P418"/>
    <mergeCell ref="Q417:Q418"/>
    <mergeCell ref="R417:R418"/>
    <mergeCell ref="S417:S418"/>
    <mergeCell ref="AG422:AG423"/>
    <mergeCell ref="AH422:AH423"/>
    <mergeCell ref="AI422:AI423"/>
    <mergeCell ref="AJ422:AJ423"/>
    <mergeCell ref="AK422:AK423"/>
    <mergeCell ref="I432:I433"/>
    <mergeCell ref="J432:J433"/>
    <mergeCell ref="K432:K433"/>
    <mergeCell ref="L432:L433"/>
    <mergeCell ref="M432:M433"/>
    <mergeCell ref="N432:N43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I427:I428"/>
    <mergeCell ref="J427:J428"/>
    <mergeCell ref="K427:K428"/>
    <mergeCell ref="L427:L428"/>
    <mergeCell ref="M427:M428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W432:W433"/>
    <mergeCell ref="X432:X433"/>
    <mergeCell ref="C427:C428"/>
    <mergeCell ref="A430:A433"/>
    <mergeCell ref="C432:C433"/>
    <mergeCell ref="D432:D433"/>
    <mergeCell ref="E432:E433"/>
    <mergeCell ref="A420:A423"/>
    <mergeCell ref="D422:D423"/>
    <mergeCell ref="E422:E423"/>
    <mergeCell ref="F422:F423"/>
    <mergeCell ref="G422:G423"/>
    <mergeCell ref="H422:H423"/>
    <mergeCell ref="A425:A428"/>
    <mergeCell ref="H427:H428"/>
    <mergeCell ref="F427:F428"/>
    <mergeCell ref="G427:G428"/>
    <mergeCell ref="F432:F433"/>
    <mergeCell ref="G432:G433"/>
    <mergeCell ref="H432:H433"/>
    <mergeCell ref="D427:D428"/>
    <mergeCell ref="E427:E428"/>
    <mergeCell ref="Y432:Y433"/>
    <mergeCell ref="Z432:Z433"/>
    <mergeCell ref="AA432:AA433"/>
    <mergeCell ref="AB432:AB433"/>
    <mergeCell ref="AB422:AB423"/>
    <mergeCell ref="AC422:AC423"/>
    <mergeCell ref="AD422:AD423"/>
    <mergeCell ref="AA422:AA423"/>
    <mergeCell ref="AC432:AC433"/>
    <mergeCell ref="AD432:AD433"/>
    <mergeCell ref="AE432:AE433"/>
    <mergeCell ref="AF432:AF433"/>
    <mergeCell ref="AG432:AG433"/>
    <mergeCell ref="AH432:AH433"/>
    <mergeCell ref="T417:T418"/>
    <mergeCell ref="U417:U418"/>
    <mergeCell ref="V417:V418"/>
    <mergeCell ref="W417:W418"/>
    <mergeCell ref="X417:X418"/>
    <mergeCell ref="Y417:Y418"/>
    <mergeCell ref="Z417:Z418"/>
    <mergeCell ref="AA417:AA418"/>
    <mergeCell ref="AB417:AB418"/>
    <mergeCell ref="AC417:AC418"/>
    <mergeCell ref="AD417:AD418"/>
    <mergeCell ref="AE417:AE418"/>
    <mergeCell ref="AF417:AF418"/>
    <mergeCell ref="AG417:AG418"/>
    <mergeCell ref="AH417:AH418"/>
    <mergeCell ref="AE427:AE428"/>
    <mergeCell ref="AF427:AF428"/>
    <mergeCell ref="AG427:AG428"/>
    <mergeCell ref="AH427:AH428"/>
    <mergeCell ref="AE422:AE423"/>
    <mergeCell ref="AF422:AF423"/>
    <mergeCell ref="BF417:BF418"/>
    <mergeCell ref="BG417:BG418"/>
    <mergeCell ref="BH417:BH418"/>
    <mergeCell ref="BI417:BI418"/>
    <mergeCell ref="BJ417:BJ418"/>
    <mergeCell ref="AV417:AV418"/>
    <mergeCell ref="AW417:AW418"/>
    <mergeCell ref="AX417:AX418"/>
    <mergeCell ref="AY417:AY418"/>
    <mergeCell ref="AZ417:AZ418"/>
    <mergeCell ref="BA417:BA418"/>
    <mergeCell ref="BB417:BB418"/>
    <mergeCell ref="I412:I413"/>
    <mergeCell ref="J412:J413"/>
    <mergeCell ref="K412:K413"/>
    <mergeCell ref="L412:L413"/>
    <mergeCell ref="M412:M413"/>
    <mergeCell ref="N412:N413"/>
    <mergeCell ref="AJ412:AJ413"/>
    <mergeCell ref="AK412:AK413"/>
    <mergeCell ref="AL412:AL413"/>
    <mergeCell ref="AM412:AM413"/>
    <mergeCell ref="AN412:AN413"/>
    <mergeCell ref="AO412:AO413"/>
    <mergeCell ref="AP412:AP413"/>
    <mergeCell ref="AQ412:AQ413"/>
    <mergeCell ref="AI417:AI418"/>
    <mergeCell ref="AJ417:AJ418"/>
    <mergeCell ref="AK417:AK418"/>
    <mergeCell ref="A410:A413"/>
    <mergeCell ref="C412:C413"/>
    <mergeCell ref="D412:D413"/>
    <mergeCell ref="E412:E413"/>
    <mergeCell ref="F412:F413"/>
    <mergeCell ref="R412:R413"/>
    <mergeCell ref="P412:P413"/>
    <mergeCell ref="Q412:Q413"/>
    <mergeCell ref="S412:S413"/>
    <mergeCell ref="T412:T413"/>
    <mergeCell ref="U412:U413"/>
    <mergeCell ref="V412:V413"/>
    <mergeCell ref="W412:W413"/>
    <mergeCell ref="G412:G413"/>
    <mergeCell ref="H412:H413"/>
    <mergeCell ref="O407:O408"/>
    <mergeCell ref="P407:P408"/>
    <mergeCell ref="A405:A408"/>
    <mergeCell ref="C407:C408"/>
    <mergeCell ref="D407:D408"/>
    <mergeCell ref="E407:E408"/>
    <mergeCell ref="F407:F408"/>
    <mergeCell ref="G407:G408"/>
    <mergeCell ref="O412:O413"/>
    <mergeCell ref="V407:V408"/>
    <mergeCell ref="W407:W408"/>
    <mergeCell ref="X412:X413"/>
    <mergeCell ref="Y412:Y413"/>
    <mergeCell ref="Z412:Z413"/>
    <mergeCell ref="AA412:AA413"/>
    <mergeCell ref="AB412:AB413"/>
    <mergeCell ref="AC412:AC413"/>
    <mergeCell ref="AD412:AD413"/>
    <mergeCell ref="AE412:AE413"/>
    <mergeCell ref="AF412:AF413"/>
    <mergeCell ref="AG412:AG413"/>
    <mergeCell ref="AH412:AH413"/>
    <mergeCell ref="AI412:AI413"/>
    <mergeCell ref="AL422:AL423"/>
    <mergeCell ref="AM422:AM423"/>
    <mergeCell ref="AN422:AN423"/>
    <mergeCell ref="AO422:AO423"/>
    <mergeCell ref="AP422:AP423"/>
    <mergeCell ref="AQ422:AQ423"/>
    <mergeCell ref="AR422:AR423"/>
    <mergeCell ref="AS422:AS423"/>
    <mergeCell ref="AT422:AT423"/>
    <mergeCell ref="AU422:AU423"/>
    <mergeCell ref="AV422:AV423"/>
    <mergeCell ref="AW422:AW423"/>
    <mergeCell ref="BE422:BE423"/>
    <mergeCell ref="A415:A418"/>
    <mergeCell ref="C417:C418"/>
    <mergeCell ref="D417:D418"/>
    <mergeCell ref="E417:E418"/>
    <mergeCell ref="F417:F418"/>
    <mergeCell ref="BC417:BC418"/>
    <mergeCell ref="BD417:BD418"/>
    <mergeCell ref="BE417:BE418"/>
    <mergeCell ref="AO417:AO418"/>
    <mergeCell ref="AP417:AP418"/>
    <mergeCell ref="AQ417:AQ418"/>
    <mergeCell ref="AR417:AR418"/>
    <mergeCell ref="AS417:AS418"/>
    <mergeCell ref="AT417:AT418"/>
    <mergeCell ref="AU417:AU418"/>
    <mergeCell ref="C422:C423"/>
    <mergeCell ref="N417:N418"/>
    <mergeCell ref="G417:G418"/>
    <mergeCell ref="H417:H418"/>
    <mergeCell ref="I417:I418"/>
    <mergeCell ref="J417:J418"/>
    <mergeCell ref="K417:K418"/>
    <mergeCell ref="L417:L418"/>
    <mergeCell ref="M417:M418"/>
    <mergeCell ref="T427:T428"/>
    <mergeCell ref="U427:U428"/>
    <mergeCell ref="N427:N428"/>
    <mergeCell ref="O427:O428"/>
    <mergeCell ref="P427:P428"/>
    <mergeCell ref="Q427:Q428"/>
    <mergeCell ref="R427:R428"/>
    <mergeCell ref="S427:S428"/>
    <mergeCell ref="AB427:AB428"/>
    <mergeCell ref="V427:V428"/>
    <mergeCell ref="W427:W428"/>
    <mergeCell ref="X427:X428"/>
    <mergeCell ref="Y427:Y428"/>
    <mergeCell ref="Z427:Z428"/>
    <mergeCell ref="AA427:AA428"/>
    <mergeCell ref="AC427:AC428"/>
    <mergeCell ref="AD427:AD428"/>
    <mergeCell ref="AL427:AL428"/>
    <mergeCell ref="AM427:AM428"/>
    <mergeCell ref="AN427:AN428"/>
    <mergeCell ref="AO427:AO428"/>
    <mergeCell ref="AP427:AP428"/>
    <mergeCell ref="AQ427:AQ428"/>
    <mergeCell ref="AR427:AR428"/>
    <mergeCell ref="AS427:AS428"/>
    <mergeCell ref="AT427:AT428"/>
    <mergeCell ref="AU427:AU428"/>
    <mergeCell ref="BF422:BF423"/>
    <mergeCell ref="BG422:BG423"/>
    <mergeCell ref="BH422:BH423"/>
    <mergeCell ref="BI422:BI423"/>
    <mergeCell ref="BJ422:BJ423"/>
    <mergeCell ref="AX422:AX423"/>
    <mergeCell ref="AY422:AY423"/>
    <mergeCell ref="AZ422:AZ423"/>
    <mergeCell ref="BA422:BA423"/>
    <mergeCell ref="BB422:BB423"/>
    <mergeCell ref="BC422:BC423"/>
    <mergeCell ref="BD422:BD423"/>
    <mergeCell ref="BG427:BG428"/>
    <mergeCell ref="BH427:BH428"/>
    <mergeCell ref="BI427:BI428"/>
    <mergeCell ref="BJ427:BJ428"/>
    <mergeCell ref="AZ427:AZ428"/>
    <mergeCell ref="BA427:BA428"/>
    <mergeCell ref="BB427:BB428"/>
    <mergeCell ref="BC427:BC428"/>
    <mergeCell ref="BD427:BD428"/>
    <mergeCell ref="BE427:BE428"/>
    <mergeCell ref="AH232:AH233"/>
    <mergeCell ref="AI232:AI233"/>
    <mergeCell ref="AJ232:AJ233"/>
    <mergeCell ref="AK232:AK233"/>
    <mergeCell ref="AL232:AL233"/>
    <mergeCell ref="AM232:AM233"/>
    <mergeCell ref="AN232:AN233"/>
    <mergeCell ref="AO232:AO233"/>
    <mergeCell ref="AP232:AP233"/>
    <mergeCell ref="AQ232:AQ233"/>
    <mergeCell ref="AR232:AR233"/>
    <mergeCell ref="AS232:AS233"/>
    <mergeCell ref="AV427:AV428"/>
    <mergeCell ref="AW427:AW428"/>
    <mergeCell ref="AX427:AX428"/>
    <mergeCell ref="AY427:AY428"/>
    <mergeCell ref="AI432:AI433"/>
    <mergeCell ref="AJ432:AJ433"/>
    <mergeCell ref="AK432:AK433"/>
    <mergeCell ref="AL432:AL433"/>
    <mergeCell ref="AM432:AM433"/>
    <mergeCell ref="AN432:AN433"/>
    <mergeCell ref="AO432:AO433"/>
    <mergeCell ref="AP432:AP433"/>
    <mergeCell ref="AQ432:AQ433"/>
    <mergeCell ref="AR432:AR433"/>
    <mergeCell ref="AS432:AS433"/>
    <mergeCell ref="AT432:AT433"/>
    <mergeCell ref="AU432:AU433"/>
    <mergeCell ref="AI427:AI428"/>
    <mergeCell ref="AJ427:AJ428"/>
    <mergeCell ref="AK427:AK428"/>
    <mergeCell ref="BG237:BG238"/>
    <mergeCell ref="BH237:BH238"/>
    <mergeCell ref="BI237:BI238"/>
    <mergeCell ref="BJ237:BJ238"/>
    <mergeCell ref="AZ237:AZ238"/>
    <mergeCell ref="BA237:BA238"/>
    <mergeCell ref="BB237:BB238"/>
    <mergeCell ref="BC237:BC238"/>
    <mergeCell ref="AV432:AV433"/>
    <mergeCell ref="AW432:AW433"/>
    <mergeCell ref="AX432:AX433"/>
    <mergeCell ref="AY432:AY433"/>
    <mergeCell ref="BG432:BG433"/>
    <mergeCell ref="BH432:BH433"/>
    <mergeCell ref="BI432:BI433"/>
    <mergeCell ref="BJ432:BJ433"/>
    <mergeCell ref="AZ432:AZ433"/>
    <mergeCell ref="BA432:BA433"/>
    <mergeCell ref="BB432:BB433"/>
    <mergeCell ref="BC432:BC433"/>
    <mergeCell ref="BD432:BD433"/>
    <mergeCell ref="BE432:BE433"/>
    <mergeCell ref="BF432:BF433"/>
    <mergeCell ref="BF427:BF428"/>
    <mergeCell ref="AV396:AV397"/>
    <mergeCell ref="AW396:AW397"/>
    <mergeCell ref="AX396:AX397"/>
    <mergeCell ref="AY396:AY397"/>
    <mergeCell ref="BG396:BG397"/>
    <mergeCell ref="BH396:BH397"/>
    <mergeCell ref="BI396:BI397"/>
    <mergeCell ref="BJ396:BJ397"/>
    <mergeCell ref="AT232:AT233"/>
    <mergeCell ref="AU232:AU233"/>
    <mergeCell ref="AV232:AV233"/>
    <mergeCell ref="AW232:AW233"/>
    <mergeCell ref="BE232:BE233"/>
    <mergeCell ref="BF232:BF233"/>
    <mergeCell ref="BG232:BG233"/>
    <mergeCell ref="BH232:BH233"/>
    <mergeCell ref="BI232:BI233"/>
    <mergeCell ref="BJ232:BJ233"/>
    <mergeCell ref="AX232:AX233"/>
    <mergeCell ref="AY232:AY233"/>
    <mergeCell ref="AZ232:AZ233"/>
    <mergeCell ref="BA232:BA233"/>
    <mergeCell ref="BB232:BB233"/>
    <mergeCell ref="BC232:BC233"/>
    <mergeCell ref="BD232:BD233"/>
    <mergeCell ref="BE237:BE238"/>
    <mergeCell ref="BF237:BF238"/>
    <mergeCell ref="AC237:AC238"/>
    <mergeCell ref="AD237:AD238"/>
    <mergeCell ref="AE237:AE238"/>
    <mergeCell ref="AF237:AF238"/>
    <mergeCell ref="AG237:AG238"/>
    <mergeCell ref="AH237:AH238"/>
    <mergeCell ref="AI237:AI238"/>
    <mergeCell ref="AJ237:AJ238"/>
    <mergeCell ref="AK237:AK238"/>
    <mergeCell ref="AL237:AL238"/>
    <mergeCell ref="AM237:AM238"/>
    <mergeCell ref="AN237:AN238"/>
    <mergeCell ref="AO237:AO238"/>
    <mergeCell ref="AP237:AP238"/>
    <mergeCell ref="W237:W238"/>
    <mergeCell ref="X237:X238"/>
    <mergeCell ref="Y237:Y238"/>
    <mergeCell ref="Z237:Z238"/>
    <mergeCell ref="AA237:AA238"/>
    <mergeCell ref="AX237:AX238"/>
    <mergeCell ref="AY237:AY238"/>
    <mergeCell ref="AM242:AM243"/>
    <mergeCell ref="AN242:AN243"/>
    <mergeCell ref="AO242:AO243"/>
    <mergeCell ref="AP242:AP243"/>
    <mergeCell ref="AQ242:AQ243"/>
    <mergeCell ref="AR242:AR243"/>
    <mergeCell ref="AS242:AS243"/>
    <mergeCell ref="AT242:AT243"/>
    <mergeCell ref="AU242:AU243"/>
    <mergeCell ref="AQ237:AQ238"/>
    <mergeCell ref="AR237:AR238"/>
    <mergeCell ref="AS237:AS238"/>
    <mergeCell ref="AT237:AT238"/>
    <mergeCell ref="AU237:AU238"/>
    <mergeCell ref="AV237:AV238"/>
    <mergeCell ref="AW237:AW238"/>
    <mergeCell ref="BD237:BD238"/>
    <mergeCell ref="AV242:AV243"/>
    <mergeCell ref="AW242:AW243"/>
    <mergeCell ref="AX242:AX243"/>
    <mergeCell ref="AY242:AY243"/>
    <mergeCell ref="BG242:BG243"/>
    <mergeCell ref="BH242:BH243"/>
    <mergeCell ref="BI242:BI243"/>
    <mergeCell ref="BJ242:BJ243"/>
    <mergeCell ref="AZ242:AZ243"/>
    <mergeCell ref="BA242:BA243"/>
    <mergeCell ref="BB242:BB243"/>
    <mergeCell ref="BC242:BC243"/>
    <mergeCell ref="BD242:BD243"/>
    <mergeCell ref="BE242:BE243"/>
    <mergeCell ref="BF242:BF243"/>
    <mergeCell ref="K247:K248"/>
    <mergeCell ref="L247:L248"/>
    <mergeCell ref="AJ247:AJ248"/>
    <mergeCell ref="AK247:AK248"/>
    <mergeCell ref="AL247:AL248"/>
    <mergeCell ref="AM247:AM248"/>
    <mergeCell ref="AN247:AN248"/>
    <mergeCell ref="AO247:AO248"/>
    <mergeCell ref="AP247:AP248"/>
    <mergeCell ref="AQ247:AQ248"/>
    <mergeCell ref="AR247:AR248"/>
    <mergeCell ref="AS247:AS248"/>
    <mergeCell ref="AT247:AT248"/>
    <mergeCell ref="AI242:AI243"/>
    <mergeCell ref="AJ242:AJ243"/>
    <mergeCell ref="AK242:AK243"/>
    <mergeCell ref="AL242:AL243"/>
    <mergeCell ref="BI268:BI269"/>
    <mergeCell ref="BJ268:BJ269"/>
    <mergeCell ref="BB268:BB269"/>
    <mergeCell ref="BC268:BC269"/>
    <mergeCell ref="BD268:BD269"/>
    <mergeCell ref="BE268:BE269"/>
    <mergeCell ref="BF268:BF269"/>
    <mergeCell ref="BG268:BG269"/>
    <mergeCell ref="BH268:BH269"/>
    <mergeCell ref="BH263:BH264"/>
    <mergeCell ref="BI263:BI264"/>
    <mergeCell ref="BJ263:BJ264"/>
    <mergeCell ref="BH252:BH253"/>
    <mergeCell ref="BI252:BI253"/>
    <mergeCell ref="BJ252:BJ253"/>
    <mergeCell ref="AX252:AX253"/>
    <mergeCell ref="AI247:AI248"/>
    <mergeCell ref="AU247:AU248"/>
    <mergeCell ref="AV247:AV248"/>
    <mergeCell ref="AW247:AW248"/>
    <mergeCell ref="BE247:BE248"/>
    <mergeCell ref="BF247:BF248"/>
    <mergeCell ref="BG247:BG248"/>
    <mergeCell ref="AY252:AY253"/>
    <mergeCell ref="AZ252:AZ253"/>
    <mergeCell ref="BA252:BA253"/>
    <mergeCell ref="BB252:BB253"/>
    <mergeCell ref="BC252:BC253"/>
    <mergeCell ref="BD252:BD253"/>
    <mergeCell ref="BH247:BH248"/>
    <mergeCell ref="BI247:BI248"/>
    <mergeCell ref="BJ247:BJ248"/>
    <mergeCell ref="AX247:AX248"/>
    <mergeCell ref="AY247:AY248"/>
    <mergeCell ref="AZ247:AZ248"/>
    <mergeCell ref="BA247:BA248"/>
    <mergeCell ref="BB247:BB248"/>
    <mergeCell ref="BC247:BC248"/>
    <mergeCell ref="BD247:BD248"/>
    <mergeCell ref="AP263:AP264"/>
    <mergeCell ref="AQ263:AQ264"/>
    <mergeCell ref="AR263:AR264"/>
    <mergeCell ref="AS263:AS264"/>
    <mergeCell ref="AQ268:AQ269"/>
    <mergeCell ref="AR268:AR269"/>
    <mergeCell ref="AS268:AS269"/>
    <mergeCell ref="AT263:AT264"/>
    <mergeCell ref="AU263:AU264"/>
    <mergeCell ref="AV263:AV264"/>
    <mergeCell ref="AW263:AW264"/>
    <mergeCell ref="BE263:BE264"/>
    <mergeCell ref="BF263:BF264"/>
    <mergeCell ref="BG263:BG264"/>
    <mergeCell ref="AX263:AX264"/>
    <mergeCell ref="AY263:AY264"/>
    <mergeCell ref="AZ263:AZ264"/>
    <mergeCell ref="BA263:BA264"/>
    <mergeCell ref="BB263:BB264"/>
    <mergeCell ref="BC263:BC264"/>
    <mergeCell ref="BD263:BD264"/>
    <mergeCell ref="V242:V243"/>
    <mergeCell ref="W242:W243"/>
    <mergeCell ref="AF252:AF253"/>
    <mergeCell ref="AG252:AG253"/>
    <mergeCell ref="N227:N228"/>
    <mergeCell ref="G227:G228"/>
    <mergeCell ref="H227:H228"/>
    <mergeCell ref="I227:I228"/>
    <mergeCell ref="J227:J228"/>
    <mergeCell ref="K227:K228"/>
    <mergeCell ref="L227:L228"/>
    <mergeCell ref="M227:M228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Q232:Q233"/>
    <mergeCell ref="AG232:AG233"/>
    <mergeCell ref="AA227:AA228"/>
    <mergeCell ref="AB227:AB228"/>
    <mergeCell ref="N247:N248"/>
    <mergeCell ref="O247:O248"/>
    <mergeCell ref="P247:P248"/>
    <mergeCell ref="Q247:Q248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AG263:AG264"/>
    <mergeCell ref="AH263:AH264"/>
    <mergeCell ref="AI263:AI264"/>
    <mergeCell ref="AJ263:AJ264"/>
    <mergeCell ref="AB232:AB233"/>
    <mergeCell ref="AC232:AC233"/>
    <mergeCell ref="AD232:AD233"/>
    <mergeCell ref="AE232:AE233"/>
    <mergeCell ref="AF232:AF233"/>
    <mergeCell ref="AA247:AA248"/>
    <mergeCell ref="AB247:AB248"/>
    <mergeCell ref="U247:U248"/>
    <mergeCell ref="V247:V248"/>
    <mergeCell ref="W247:W248"/>
    <mergeCell ref="X247:X248"/>
    <mergeCell ref="Y247:Y248"/>
    <mergeCell ref="Z247:Z248"/>
    <mergeCell ref="R247:R248"/>
    <mergeCell ref="S247:S248"/>
    <mergeCell ref="X252:X253"/>
    <mergeCell ref="Z232:Z233"/>
    <mergeCell ref="AA232:AA233"/>
    <mergeCell ref="D237:D238"/>
    <mergeCell ref="E237:E238"/>
    <mergeCell ref="I237:I238"/>
    <mergeCell ref="J237:J238"/>
    <mergeCell ref="K237:K238"/>
    <mergeCell ref="L237:L238"/>
    <mergeCell ref="M237:M238"/>
    <mergeCell ref="D247:D248"/>
    <mergeCell ref="T247:T248"/>
    <mergeCell ref="T237:T238"/>
    <mergeCell ref="U237:U238"/>
    <mergeCell ref="N237:N238"/>
    <mergeCell ref="O237:O238"/>
    <mergeCell ref="P237:P238"/>
    <mergeCell ref="Q237:Q238"/>
    <mergeCell ref="R237:R238"/>
    <mergeCell ref="S237:S238"/>
    <mergeCell ref="X242:X243"/>
    <mergeCell ref="Y242:Y243"/>
    <mergeCell ref="Z242:Z243"/>
    <mergeCell ref="S242:S243"/>
    <mergeCell ref="T242:T243"/>
    <mergeCell ref="U242:U243"/>
    <mergeCell ref="F237:F238"/>
    <mergeCell ref="G237:G238"/>
    <mergeCell ref="F242:F243"/>
    <mergeCell ref="G242:G243"/>
    <mergeCell ref="H242:H243"/>
    <mergeCell ref="I242:I243"/>
    <mergeCell ref="J242:J243"/>
    <mergeCell ref="AI252:AI253"/>
    <mergeCell ref="AJ252:AJ253"/>
    <mergeCell ref="AK252:AK253"/>
    <mergeCell ref="AL252:AL253"/>
    <mergeCell ref="AM252:AM253"/>
    <mergeCell ref="A257:BJ257"/>
    <mergeCell ref="AN252:AN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BE252:BE253"/>
    <mergeCell ref="BF252:BF253"/>
    <mergeCell ref="BG252:BG253"/>
    <mergeCell ref="O252:O253"/>
    <mergeCell ref="H252:H253"/>
    <mergeCell ref="I252:I253"/>
    <mergeCell ref="J252:J253"/>
    <mergeCell ref="K252:K253"/>
    <mergeCell ref="L252:L253"/>
    <mergeCell ref="P252:P253"/>
    <mergeCell ref="Q252:Q253"/>
    <mergeCell ref="R252:R253"/>
    <mergeCell ref="S252:S253"/>
    <mergeCell ref="T252:T253"/>
    <mergeCell ref="U252:U253"/>
    <mergeCell ref="V252:V253"/>
    <mergeCell ref="AZ268:AZ269"/>
    <mergeCell ref="BA268:BA269"/>
    <mergeCell ref="AT268:AT269"/>
    <mergeCell ref="AU268:AU269"/>
    <mergeCell ref="AV268:AV269"/>
    <mergeCell ref="AW268:AW269"/>
    <mergeCell ref="AX268:AX269"/>
    <mergeCell ref="AY268:AY269"/>
    <mergeCell ref="S268:S269"/>
    <mergeCell ref="T268:T269"/>
    <mergeCell ref="U268:U269"/>
    <mergeCell ref="V268:V269"/>
    <mergeCell ref="W268:W269"/>
    <mergeCell ref="X268:X269"/>
    <mergeCell ref="Q263:Q264"/>
    <mergeCell ref="R263:R264"/>
    <mergeCell ref="S263:S264"/>
    <mergeCell ref="T263:T264"/>
    <mergeCell ref="U263:U264"/>
    <mergeCell ref="AK263:AK264"/>
    <mergeCell ref="AL263:AL264"/>
    <mergeCell ref="AM263:AM264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N263:AN264"/>
    <mergeCell ref="AO263:AO264"/>
    <mergeCell ref="K242:K243"/>
    <mergeCell ref="L242:L243"/>
    <mergeCell ref="M242:M243"/>
    <mergeCell ref="N242:N243"/>
    <mergeCell ref="O242:O243"/>
    <mergeCell ref="P242:P243"/>
    <mergeCell ref="M252:M253"/>
    <mergeCell ref="N252:N253"/>
    <mergeCell ref="W252:W253"/>
    <mergeCell ref="C247:C248"/>
    <mergeCell ref="Q242:Q243"/>
    <mergeCell ref="R242:R243"/>
    <mergeCell ref="C263:C264"/>
    <mergeCell ref="C268:C269"/>
    <mergeCell ref="A261:A264"/>
    <mergeCell ref="D263:D264"/>
    <mergeCell ref="E263:E264"/>
    <mergeCell ref="F263:F264"/>
    <mergeCell ref="G263:G264"/>
    <mergeCell ref="H263:H264"/>
    <mergeCell ref="A266:A269"/>
    <mergeCell ref="D268:D269"/>
    <mergeCell ref="E268:E269"/>
    <mergeCell ref="F268:F269"/>
    <mergeCell ref="G268:G269"/>
    <mergeCell ref="K263:K264"/>
    <mergeCell ref="F247:F248"/>
    <mergeCell ref="G247:G248"/>
    <mergeCell ref="H247:H248"/>
    <mergeCell ref="I247:I248"/>
    <mergeCell ref="J247:J248"/>
    <mergeCell ref="M247:M248"/>
    <mergeCell ref="AH252:AH253"/>
    <mergeCell ref="AC247:AC248"/>
    <mergeCell ref="AD247:AD248"/>
    <mergeCell ref="AF247:AF248"/>
    <mergeCell ref="AG247:AG248"/>
    <mergeCell ref="AH247:AH248"/>
    <mergeCell ref="Y268:Y269"/>
    <mergeCell ref="Z268:Z269"/>
    <mergeCell ref="AG268:AG269"/>
    <mergeCell ref="AH268:AH269"/>
    <mergeCell ref="AF263:AF264"/>
    <mergeCell ref="AC242:AC243"/>
    <mergeCell ref="AD242:AD243"/>
    <mergeCell ref="AE242:AE243"/>
    <mergeCell ref="AF242:AF243"/>
    <mergeCell ref="AG242:AG243"/>
    <mergeCell ref="AH242:AH243"/>
    <mergeCell ref="AB263:AB264"/>
    <mergeCell ref="AC263:AC264"/>
    <mergeCell ref="AD263:AD264"/>
    <mergeCell ref="AE263:AE264"/>
    <mergeCell ref="AA242:AA243"/>
    <mergeCell ref="AB242:AB243"/>
    <mergeCell ref="AE247:AE248"/>
    <mergeCell ref="AE252:AE253"/>
    <mergeCell ref="Y252:Y253"/>
    <mergeCell ref="Z252:Z253"/>
    <mergeCell ref="AA252:AA253"/>
    <mergeCell ref="AB252:AB253"/>
    <mergeCell ref="AC252:AC253"/>
    <mergeCell ref="AD252:AD253"/>
    <mergeCell ref="A230:A233"/>
    <mergeCell ref="D232:D233"/>
    <mergeCell ref="E232:E233"/>
    <mergeCell ref="F232:F233"/>
    <mergeCell ref="G232:G233"/>
    <mergeCell ref="H232:H233"/>
    <mergeCell ref="A235:A238"/>
    <mergeCell ref="H237:H238"/>
    <mergeCell ref="C232:C233"/>
    <mergeCell ref="C237:C238"/>
    <mergeCell ref="A240:A243"/>
    <mergeCell ref="C242:C243"/>
    <mergeCell ref="D242:D243"/>
    <mergeCell ref="E242:E243"/>
    <mergeCell ref="E247:E248"/>
    <mergeCell ref="I263:I264"/>
    <mergeCell ref="J263:J264"/>
    <mergeCell ref="A245:A248"/>
    <mergeCell ref="A250:A253"/>
    <mergeCell ref="C252:C253"/>
    <mergeCell ref="D252:D253"/>
    <mergeCell ref="E252:E253"/>
    <mergeCell ref="F252:F253"/>
    <mergeCell ref="G252:G253"/>
    <mergeCell ref="H268:H269"/>
    <mergeCell ref="I268:I269"/>
    <mergeCell ref="J268:J269"/>
    <mergeCell ref="AA268:AA269"/>
    <mergeCell ref="AB268:AB269"/>
    <mergeCell ref="AC268:AC269"/>
    <mergeCell ref="AD268:AD269"/>
    <mergeCell ref="AE268:AE269"/>
    <mergeCell ref="AF268:AF269"/>
    <mergeCell ref="V263:V264"/>
    <mergeCell ref="W263:W264"/>
    <mergeCell ref="X263:X264"/>
    <mergeCell ref="Y263:Y264"/>
    <mergeCell ref="Z263:Z264"/>
    <mergeCell ref="AA263:AA264"/>
    <mergeCell ref="Q268:Q269"/>
    <mergeCell ref="R268:R269"/>
    <mergeCell ref="K268:K269"/>
    <mergeCell ref="L268:L269"/>
    <mergeCell ref="M268:M269"/>
    <mergeCell ref="N268:N269"/>
    <mergeCell ref="O268:O269"/>
    <mergeCell ref="P268:P269"/>
    <mergeCell ref="L263:L264"/>
    <mergeCell ref="M263:M264"/>
    <mergeCell ref="N263:N264"/>
    <mergeCell ref="O263:O264"/>
    <mergeCell ref="P263:P264"/>
    <mergeCell ref="BE273:BE274"/>
    <mergeCell ref="BF273:BF274"/>
    <mergeCell ref="BG273:BG274"/>
    <mergeCell ref="BH273:BH274"/>
    <mergeCell ref="BI273:BI274"/>
    <mergeCell ref="BJ273:BJ274"/>
    <mergeCell ref="AX273:AX274"/>
    <mergeCell ref="AY273:AY274"/>
    <mergeCell ref="AZ273:AZ274"/>
    <mergeCell ref="BA273:BA274"/>
    <mergeCell ref="BB273:BB274"/>
    <mergeCell ref="BC273:BC274"/>
    <mergeCell ref="BD273:BD274"/>
    <mergeCell ref="AG273:AG274"/>
    <mergeCell ref="AH273:AH274"/>
    <mergeCell ref="AI273:AI274"/>
    <mergeCell ref="AJ273:AJ274"/>
    <mergeCell ref="AK273:AK274"/>
    <mergeCell ref="AL273:AL274"/>
    <mergeCell ref="AM273:AM274"/>
    <mergeCell ref="AN273:AN274"/>
    <mergeCell ref="AO273:AO274"/>
    <mergeCell ref="AP273:AP274"/>
    <mergeCell ref="AQ273:AQ274"/>
    <mergeCell ref="AR273:AR274"/>
    <mergeCell ref="AS273:AS274"/>
    <mergeCell ref="P278:P279"/>
    <mergeCell ref="Q278:Q279"/>
    <mergeCell ref="R278:R279"/>
    <mergeCell ref="S278:S279"/>
    <mergeCell ref="AB278:AB279"/>
    <mergeCell ref="V278:V279"/>
    <mergeCell ref="W278:W279"/>
    <mergeCell ref="X278:X279"/>
    <mergeCell ref="Y278:Y279"/>
    <mergeCell ref="Z278:Z279"/>
    <mergeCell ref="AA278:AA279"/>
    <mergeCell ref="AT273:AT274"/>
    <mergeCell ref="AU273:AU274"/>
    <mergeCell ref="AV273:AV274"/>
    <mergeCell ref="AW273:AW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AV278:AV279"/>
    <mergeCell ref="AW278:AW279"/>
    <mergeCell ref="T278:T279"/>
    <mergeCell ref="U278:U279"/>
    <mergeCell ref="AF273:AF274"/>
    <mergeCell ref="AX278:AX279"/>
    <mergeCell ref="AY278:AY279"/>
    <mergeCell ref="BG278:BG279"/>
    <mergeCell ref="BH278:BH279"/>
    <mergeCell ref="BI278:BI279"/>
    <mergeCell ref="BJ278:BJ279"/>
    <mergeCell ref="AZ278:AZ279"/>
    <mergeCell ref="BA278:BA279"/>
    <mergeCell ref="BB278:BB279"/>
    <mergeCell ref="BC278:BC279"/>
    <mergeCell ref="BD278:BD279"/>
    <mergeCell ref="BE278:BE279"/>
    <mergeCell ref="BF278:BF279"/>
    <mergeCell ref="AC278:AC279"/>
    <mergeCell ref="AD278:AD279"/>
    <mergeCell ref="AE278:AE279"/>
    <mergeCell ref="AF278:AF279"/>
    <mergeCell ref="AG278:AG279"/>
    <mergeCell ref="AH278:AH279"/>
    <mergeCell ref="AI278:AI279"/>
    <mergeCell ref="AJ278:AJ279"/>
    <mergeCell ref="AK278:AK279"/>
    <mergeCell ref="AL278:AL279"/>
    <mergeCell ref="AM278:AM279"/>
    <mergeCell ref="AN278:AN279"/>
    <mergeCell ref="AO278:AO279"/>
    <mergeCell ref="AP278:AP279"/>
    <mergeCell ref="AQ278:AQ279"/>
    <mergeCell ref="AR278:AR279"/>
    <mergeCell ref="AS278:AS279"/>
    <mergeCell ref="AT278:AT279"/>
    <mergeCell ref="AU278:AU279"/>
    <mergeCell ref="AJ283:AJ284"/>
    <mergeCell ref="AK283:AK284"/>
    <mergeCell ref="AL283:AL284"/>
    <mergeCell ref="AM283:AM284"/>
    <mergeCell ref="AN283:AN284"/>
    <mergeCell ref="AO283:AO284"/>
    <mergeCell ref="AP283:AP284"/>
    <mergeCell ref="AQ283:AQ284"/>
    <mergeCell ref="AR283:AR284"/>
    <mergeCell ref="AS283:AS284"/>
    <mergeCell ref="AT283:AT284"/>
    <mergeCell ref="Y273:Y274"/>
    <mergeCell ref="Z273:Z274"/>
    <mergeCell ref="AA273:AA274"/>
    <mergeCell ref="D278:D279"/>
    <mergeCell ref="E278:E279"/>
    <mergeCell ref="I278:I279"/>
    <mergeCell ref="J278:J279"/>
    <mergeCell ref="K278:K279"/>
    <mergeCell ref="L278:L279"/>
    <mergeCell ref="M278:M279"/>
    <mergeCell ref="AB273:AB274"/>
    <mergeCell ref="AC273:AC274"/>
    <mergeCell ref="AD273:AD274"/>
    <mergeCell ref="AE273:AE274"/>
    <mergeCell ref="I273:I274"/>
    <mergeCell ref="J273:J274"/>
    <mergeCell ref="K273:K274"/>
    <mergeCell ref="L273:L274"/>
    <mergeCell ref="M273:M274"/>
    <mergeCell ref="N278:N279"/>
    <mergeCell ref="O278:O279"/>
    <mergeCell ref="AU283:AU284"/>
    <mergeCell ref="AV283:AV284"/>
    <mergeCell ref="AW283:AW284"/>
    <mergeCell ref="AX283:AX284"/>
    <mergeCell ref="AY283:AY284"/>
    <mergeCell ref="BG283:BG284"/>
    <mergeCell ref="BH283:BH284"/>
    <mergeCell ref="BI283:BI284"/>
    <mergeCell ref="BJ283:BJ284"/>
    <mergeCell ref="AZ283:AZ284"/>
    <mergeCell ref="BA283:BA284"/>
    <mergeCell ref="BB283:BB284"/>
    <mergeCell ref="BC283:BC284"/>
    <mergeCell ref="BD283:BD284"/>
    <mergeCell ref="BE283:BE284"/>
    <mergeCell ref="BF283:BF284"/>
    <mergeCell ref="S288:S289"/>
    <mergeCell ref="T288:T289"/>
    <mergeCell ref="AJ288:AJ289"/>
    <mergeCell ref="AK288:AK289"/>
    <mergeCell ref="AL288:AL289"/>
    <mergeCell ref="AM288:AM289"/>
    <mergeCell ref="AE283:AE284"/>
    <mergeCell ref="AF283:AF284"/>
    <mergeCell ref="AG283:AG284"/>
    <mergeCell ref="AH283:AH284"/>
    <mergeCell ref="S283:S284"/>
    <mergeCell ref="T283:T284"/>
    <mergeCell ref="U283:U284"/>
    <mergeCell ref="V283:V284"/>
    <mergeCell ref="W283:W284"/>
    <mergeCell ref="AI283:AI284"/>
    <mergeCell ref="BI288:BI289"/>
    <mergeCell ref="BJ288:BJ289"/>
    <mergeCell ref="AX288:AX289"/>
    <mergeCell ref="AY288:AY289"/>
    <mergeCell ref="AZ288:AZ289"/>
    <mergeCell ref="BA288:BA289"/>
    <mergeCell ref="BB288:BB289"/>
    <mergeCell ref="BC288:BC289"/>
    <mergeCell ref="BD288:BD289"/>
    <mergeCell ref="A286:A289"/>
    <mergeCell ref="E288:E289"/>
    <mergeCell ref="AC288:AC289"/>
    <mergeCell ref="M288:M289"/>
    <mergeCell ref="N288:N289"/>
    <mergeCell ref="O288:O289"/>
    <mergeCell ref="P288:P289"/>
    <mergeCell ref="Q288:Q289"/>
    <mergeCell ref="R288:R289"/>
    <mergeCell ref="U288:U289"/>
    <mergeCell ref="V288:V289"/>
    <mergeCell ref="W288:W289"/>
    <mergeCell ref="X288:X289"/>
    <mergeCell ref="Y288:Y289"/>
    <mergeCell ref="Z288:Z289"/>
    <mergeCell ref="AA288:AA289"/>
    <mergeCell ref="AB288:AB289"/>
    <mergeCell ref="AI288:AI289"/>
    <mergeCell ref="AD288:AD289"/>
    <mergeCell ref="AE288:AE289"/>
    <mergeCell ref="AF288:AF289"/>
    <mergeCell ref="AG288:AG289"/>
    <mergeCell ref="AH288:AH289"/>
    <mergeCell ref="A271:A274"/>
    <mergeCell ref="D273:D274"/>
    <mergeCell ref="E273:E274"/>
    <mergeCell ref="F273:F274"/>
    <mergeCell ref="G273:G274"/>
    <mergeCell ref="H273:H274"/>
    <mergeCell ref="A276:A279"/>
    <mergeCell ref="H278:H279"/>
    <mergeCell ref="F278:F279"/>
    <mergeCell ref="G278:G279"/>
    <mergeCell ref="F283:F284"/>
    <mergeCell ref="G283:G284"/>
    <mergeCell ref="H283:H284"/>
    <mergeCell ref="I283:I284"/>
    <mergeCell ref="J283:J284"/>
    <mergeCell ref="AC283:AC284"/>
    <mergeCell ref="AD283:AD284"/>
    <mergeCell ref="C273:C274"/>
    <mergeCell ref="C278:C279"/>
    <mergeCell ref="A281:A284"/>
    <mergeCell ref="C283:C284"/>
    <mergeCell ref="D283:D284"/>
    <mergeCell ref="E283:E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N273:N274"/>
    <mergeCell ref="X283:X284"/>
    <mergeCell ref="Y283:Y284"/>
    <mergeCell ref="Z283:Z284"/>
    <mergeCell ref="AA283:AA284"/>
    <mergeCell ref="AB283:AB284"/>
    <mergeCell ref="AG299:AG300"/>
    <mergeCell ref="AH299:AH300"/>
    <mergeCell ref="AI299:AI300"/>
    <mergeCell ref="AJ299:AJ300"/>
    <mergeCell ref="AK299:AK300"/>
    <mergeCell ref="AL299:AL300"/>
    <mergeCell ref="AM299:AM300"/>
    <mergeCell ref="AN299:AN300"/>
    <mergeCell ref="AO299:AO300"/>
    <mergeCell ref="AB299:AB300"/>
    <mergeCell ref="AC299:AC300"/>
    <mergeCell ref="AD299:AD300"/>
    <mergeCell ref="A293:BJ293"/>
    <mergeCell ref="AN288:AN289"/>
    <mergeCell ref="AO288:AO289"/>
    <mergeCell ref="AP288:AP289"/>
    <mergeCell ref="AQ288:AQ289"/>
    <mergeCell ref="AR288:AR289"/>
    <mergeCell ref="AS288:AS289"/>
    <mergeCell ref="AT288:AT289"/>
    <mergeCell ref="AU288:AU289"/>
    <mergeCell ref="AV288:AV289"/>
    <mergeCell ref="AW288:AW289"/>
    <mergeCell ref="BE288:BE289"/>
    <mergeCell ref="BF288:BF289"/>
    <mergeCell ref="BG288:BG289"/>
    <mergeCell ref="BH288:BH289"/>
    <mergeCell ref="AS304:AS305"/>
    <mergeCell ref="AT304:AT305"/>
    <mergeCell ref="AU304:AU305"/>
    <mergeCell ref="BC304:BC305"/>
    <mergeCell ref="BD304:BD305"/>
    <mergeCell ref="BE304:BE305"/>
    <mergeCell ref="BF304:BF305"/>
    <mergeCell ref="BG304:BG305"/>
    <mergeCell ref="BH304:BH305"/>
    <mergeCell ref="AV299:AV300"/>
    <mergeCell ref="AW299:AW300"/>
    <mergeCell ref="BE299:BE300"/>
    <mergeCell ref="BF299:BF300"/>
    <mergeCell ref="BG299:BG300"/>
    <mergeCell ref="BH299:BH300"/>
    <mergeCell ref="BI299:BI300"/>
    <mergeCell ref="BJ299:BJ300"/>
    <mergeCell ref="AX299:AX300"/>
    <mergeCell ref="AY299:AY300"/>
    <mergeCell ref="AZ299:AZ300"/>
    <mergeCell ref="BA299:BA300"/>
    <mergeCell ref="BB299:BB300"/>
    <mergeCell ref="BC299:BC300"/>
    <mergeCell ref="BD299:BD300"/>
    <mergeCell ref="BI304:BI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AG304:AG305"/>
    <mergeCell ref="AH304:AH305"/>
    <mergeCell ref="AI304:AI305"/>
    <mergeCell ref="AJ304:AJ305"/>
    <mergeCell ref="AK304:AK305"/>
    <mergeCell ref="AL304:AL305"/>
    <mergeCell ref="AM304:AM305"/>
    <mergeCell ref="BJ304:BJ305"/>
    <mergeCell ref="AV304:AV305"/>
    <mergeCell ref="AW304:AW305"/>
    <mergeCell ref="AX304:AX305"/>
    <mergeCell ref="AY304:AY305"/>
    <mergeCell ref="AZ304:AZ305"/>
    <mergeCell ref="BA304:BA305"/>
    <mergeCell ref="BB304:BB305"/>
    <mergeCell ref="AB304:AB305"/>
    <mergeCell ref="V304:V305"/>
    <mergeCell ref="W304:W305"/>
    <mergeCell ref="X304:X305"/>
    <mergeCell ref="Y304:Y305"/>
    <mergeCell ref="Z304:Z305"/>
    <mergeCell ref="AA304:AA305"/>
    <mergeCell ref="AC304:AC305"/>
    <mergeCell ref="AQ299:AQ300"/>
    <mergeCell ref="AR299:AR300"/>
    <mergeCell ref="AS299:AS300"/>
    <mergeCell ref="AT299:AT300"/>
    <mergeCell ref="AU299:AU300"/>
    <mergeCell ref="AE299:AE300"/>
    <mergeCell ref="AF299:AF300"/>
    <mergeCell ref="T309:T310"/>
    <mergeCell ref="U309:U310"/>
    <mergeCell ref="K288:K289"/>
    <mergeCell ref="L288:L289"/>
    <mergeCell ref="C288:C289"/>
    <mergeCell ref="D288:D289"/>
    <mergeCell ref="F288:F289"/>
    <mergeCell ref="G288:G289"/>
    <mergeCell ref="H288:H289"/>
    <mergeCell ref="I288:I289"/>
    <mergeCell ref="J288:J289"/>
    <mergeCell ref="I299:I300"/>
    <mergeCell ref="J299:J300"/>
    <mergeCell ref="K299:K300"/>
    <mergeCell ref="L299:L300"/>
    <mergeCell ref="M299:M300"/>
    <mergeCell ref="N299:N300"/>
    <mergeCell ref="O299:O300"/>
    <mergeCell ref="AD304:AD305"/>
    <mergeCell ref="AE304:AE305"/>
    <mergeCell ref="AF304:AF305"/>
    <mergeCell ref="AO304:AO305"/>
    <mergeCell ref="AP304:AP305"/>
    <mergeCell ref="AQ304:AQ305"/>
    <mergeCell ref="AR304:AR305"/>
    <mergeCell ref="T299:T300"/>
    <mergeCell ref="U299:U300"/>
    <mergeCell ref="V299:V300"/>
    <mergeCell ref="W299:W300"/>
    <mergeCell ref="X299:X300"/>
    <mergeCell ref="Y299:Y300"/>
    <mergeCell ref="Z299:Z300"/>
    <mergeCell ref="AA299:AA300"/>
    <mergeCell ref="D304:D305"/>
    <mergeCell ref="E304:E305"/>
    <mergeCell ref="I304:I305"/>
    <mergeCell ref="J304:J305"/>
    <mergeCell ref="K304:K305"/>
    <mergeCell ref="L304:L305"/>
    <mergeCell ref="M304:M305"/>
    <mergeCell ref="AN304:AN305"/>
    <mergeCell ref="AP299:AP300"/>
    <mergeCell ref="T314:T315"/>
    <mergeCell ref="AJ314:AJ315"/>
    <mergeCell ref="AK314:AK315"/>
    <mergeCell ref="AL314:AL315"/>
    <mergeCell ref="AM314:AM315"/>
    <mergeCell ref="AN314:AN315"/>
    <mergeCell ref="AO314:AO315"/>
    <mergeCell ref="AP314:AP315"/>
    <mergeCell ref="AQ314:AQ315"/>
    <mergeCell ref="AR314:AR315"/>
    <mergeCell ref="AS314:AS315"/>
    <mergeCell ref="AT314:AT315"/>
    <mergeCell ref="AI309:AI310"/>
    <mergeCell ref="AJ309:AJ310"/>
    <mergeCell ref="AK309:AK310"/>
    <mergeCell ref="AL309:AL310"/>
    <mergeCell ref="AM309:AM310"/>
    <mergeCell ref="AN309:AN310"/>
    <mergeCell ref="AO309:AO310"/>
    <mergeCell ref="AP309:AP310"/>
    <mergeCell ref="AQ309:AQ310"/>
    <mergeCell ref="AR309:AR310"/>
    <mergeCell ref="AS309:AS310"/>
    <mergeCell ref="AT309:AT310"/>
    <mergeCell ref="U314:U315"/>
    <mergeCell ref="V314:V315"/>
    <mergeCell ref="W314:W315"/>
    <mergeCell ref="X314:X315"/>
    <mergeCell ref="Y314:Y315"/>
    <mergeCell ref="Z314:Z315"/>
    <mergeCell ref="AA314:AA315"/>
    <mergeCell ref="AB314:AB315"/>
    <mergeCell ref="V309:V310"/>
    <mergeCell ref="W309:W310"/>
    <mergeCell ref="BJ309:BJ310"/>
    <mergeCell ref="AZ309:AZ310"/>
    <mergeCell ref="BA309:BA310"/>
    <mergeCell ref="BB309:BB310"/>
    <mergeCell ref="BC309:BC310"/>
    <mergeCell ref="BD309:BD310"/>
    <mergeCell ref="BE309:BE310"/>
    <mergeCell ref="BF309:BF310"/>
    <mergeCell ref="AU309:AU310"/>
    <mergeCell ref="BG314:BG315"/>
    <mergeCell ref="BH314:BH315"/>
    <mergeCell ref="BI314:BI315"/>
    <mergeCell ref="BJ314:BJ315"/>
    <mergeCell ref="AX314:AX315"/>
    <mergeCell ref="AY314:AY315"/>
    <mergeCell ref="AZ314:AZ315"/>
    <mergeCell ref="BA314:BA315"/>
    <mergeCell ref="BB314:BB315"/>
    <mergeCell ref="BC314:BC315"/>
    <mergeCell ref="BD314:BD315"/>
    <mergeCell ref="AI314:AI315"/>
    <mergeCell ref="AE314:AE315"/>
    <mergeCell ref="AF314:AF315"/>
    <mergeCell ref="AG314:AG315"/>
    <mergeCell ref="AH314:AH315"/>
    <mergeCell ref="A297:A300"/>
    <mergeCell ref="D299:D300"/>
    <mergeCell ref="E299:E300"/>
    <mergeCell ref="F299:F300"/>
    <mergeCell ref="G299:G300"/>
    <mergeCell ref="H299:H300"/>
    <mergeCell ref="A302:A305"/>
    <mergeCell ref="H304:H305"/>
    <mergeCell ref="F304:F305"/>
    <mergeCell ref="G304:G305"/>
    <mergeCell ref="F309:F310"/>
    <mergeCell ref="G309:G310"/>
    <mergeCell ref="H309:H310"/>
    <mergeCell ref="I309:I310"/>
    <mergeCell ref="J309:J310"/>
    <mergeCell ref="AC309:AC310"/>
    <mergeCell ref="BH309:BH310"/>
    <mergeCell ref="BI309:BI310"/>
    <mergeCell ref="V319:V320"/>
    <mergeCell ref="W319:W320"/>
    <mergeCell ref="X319:X320"/>
    <mergeCell ref="Y319:Y320"/>
    <mergeCell ref="Z319:Z320"/>
    <mergeCell ref="AA319:AA320"/>
    <mergeCell ref="AB319:AB320"/>
    <mergeCell ref="AC319:AC320"/>
    <mergeCell ref="AD309:AD310"/>
    <mergeCell ref="AE309:AE310"/>
    <mergeCell ref="AF309:AF310"/>
    <mergeCell ref="AG309:AG310"/>
    <mergeCell ref="AH309:AH310"/>
    <mergeCell ref="AF319:AF320"/>
    <mergeCell ref="AG319:AG320"/>
    <mergeCell ref="AH319:AH320"/>
    <mergeCell ref="AI319:AI320"/>
    <mergeCell ref="AJ319:AJ320"/>
    <mergeCell ref="AK319:AK320"/>
    <mergeCell ref="AL319:AL320"/>
    <mergeCell ref="AM319:AM320"/>
    <mergeCell ref="AN319:AN320"/>
    <mergeCell ref="AO319:AO320"/>
    <mergeCell ref="AP319:AP320"/>
    <mergeCell ref="AQ319:AQ320"/>
    <mergeCell ref="AC314:AC315"/>
    <mergeCell ref="AD314:AD315"/>
    <mergeCell ref="AU314:AU315"/>
    <mergeCell ref="AV314:AV315"/>
    <mergeCell ref="AW314:AW315"/>
    <mergeCell ref="C299:C300"/>
    <mergeCell ref="C304:C305"/>
    <mergeCell ref="A307:A310"/>
    <mergeCell ref="C309:C310"/>
    <mergeCell ref="D309:D310"/>
    <mergeCell ref="E309:E310"/>
    <mergeCell ref="A312:A315"/>
    <mergeCell ref="E314:E315"/>
    <mergeCell ref="K309:K310"/>
    <mergeCell ref="L309:L310"/>
    <mergeCell ref="M309:M310"/>
    <mergeCell ref="N309:N310"/>
    <mergeCell ref="O309:O310"/>
    <mergeCell ref="P309:P310"/>
    <mergeCell ref="Q309:Q310"/>
    <mergeCell ref="R309:R310"/>
    <mergeCell ref="S309:S310"/>
    <mergeCell ref="M314:M315"/>
    <mergeCell ref="N314:N315"/>
    <mergeCell ref="O314:O315"/>
    <mergeCell ref="P314:P315"/>
    <mergeCell ref="Q314:Q315"/>
    <mergeCell ref="R314:R315"/>
    <mergeCell ref="S314:S315"/>
    <mergeCell ref="P299:P300"/>
    <mergeCell ref="Q299:Q300"/>
    <mergeCell ref="R299:R300"/>
    <mergeCell ref="S299:S300"/>
    <mergeCell ref="K314:K315"/>
    <mergeCell ref="L314:L315"/>
    <mergeCell ref="C314:C315"/>
    <mergeCell ref="X309:X310"/>
    <mergeCell ref="Y309:Y310"/>
    <mergeCell ref="Z309:Z310"/>
    <mergeCell ref="AA309:AA310"/>
    <mergeCell ref="AB309:AB310"/>
    <mergeCell ref="AD319:AD320"/>
    <mergeCell ref="AE319:AE320"/>
    <mergeCell ref="AM391:AM392"/>
    <mergeCell ref="AT319:AT320"/>
    <mergeCell ref="AU319:AU320"/>
    <mergeCell ref="AV319:AV320"/>
    <mergeCell ref="AW319:AW320"/>
    <mergeCell ref="BE319:BE320"/>
    <mergeCell ref="BF319:BF320"/>
    <mergeCell ref="BG319:BG320"/>
    <mergeCell ref="AN391:AN392"/>
    <mergeCell ref="AO391:AO392"/>
    <mergeCell ref="AP391:AP392"/>
    <mergeCell ref="AQ391:AQ392"/>
    <mergeCell ref="AG391:AG392"/>
    <mergeCell ref="AH391:AH392"/>
    <mergeCell ref="AI391:AI392"/>
    <mergeCell ref="AJ391:AJ392"/>
    <mergeCell ref="AK391:AK392"/>
    <mergeCell ref="AL391:AL392"/>
    <mergeCell ref="AV309:AV310"/>
    <mergeCell ref="AW309:AW310"/>
    <mergeCell ref="AX309:AX310"/>
    <mergeCell ref="AY309:AY310"/>
    <mergeCell ref="BG309:BG310"/>
    <mergeCell ref="BE314:BE315"/>
    <mergeCell ref="BF314:BF315"/>
    <mergeCell ref="BH319:BH320"/>
    <mergeCell ref="BI319:BI320"/>
    <mergeCell ref="BJ319:BJ320"/>
    <mergeCell ref="AX319:AX320"/>
    <mergeCell ref="AY319:AY320"/>
    <mergeCell ref="AZ319:AZ320"/>
    <mergeCell ref="BA319:BA320"/>
    <mergeCell ref="BB319:BB320"/>
    <mergeCell ref="BC319:BC320"/>
    <mergeCell ref="BD319:BD320"/>
    <mergeCell ref="AR391:AR392"/>
    <mergeCell ref="AS391:AS392"/>
    <mergeCell ref="AT391:AT392"/>
    <mergeCell ref="AU391:AU392"/>
    <mergeCell ref="AV391:AV392"/>
    <mergeCell ref="AW391:AW392"/>
    <mergeCell ref="BE391:BE392"/>
    <mergeCell ref="BF391:BF392"/>
    <mergeCell ref="BG391:BG392"/>
    <mergeCell ref="BH391:BH392"/>
    <mergeCell ref="BI391:BI392"/>
    <mergeCell ref="BJ391:BJ392"/>
    <mergeCell ref="AX391:AX392"/>
    <mergeCell ref="AY391:AY392"/>
    <mergeCell ref="AR319:AR320"/>
    <mergeCell ref="AS319:AS320"/>
    <mergeCell ref="AZ391:AZ392"/>
    <mergeCell ref="BA391:BA392"/>
    <mergeCell ref="BB391:BB392"/>
    <mergeCell ref="BC391:BC392"/>
    <mergeCell ref="BD391:BD392"/>
    <mergeCell ref="AY386:AY387"/>
    <mergeCell ref="I396:I397"/>
    <mergeCell ref="J396:J397"/>
    <mergeCell ref="K396:K397"/>
    <mergeCell ref="L396:L397"/>
    <mergeCell ref="M396:M397"/>
    <mergeCell ref="AB391:AB392"/>
    <mergeCell ref="AC391:AC392"/>
    <mergeCell ref="AD391:AD392"/>
    <mergeCell ref="AE391:AE392"/>
    <mergeCell ref="AF391:AF392"/>
    <mergeCell ref="AC396:AC397"/>
    <mergeCell ref="S391:S392"/>
    <mergeCell ref="T391:T392"/>
    <mergeCell ref="U391:U392"/>
    <mergeCell ref="V391:V392"/>
    <mergeCell ref="W391:W392"/>
    <mergeCell ref="X391:X392"/>
    <mergeCell ref="Y391:Y392"/>
    <mergeCell ref="Z391:Z392"/>
    <mergeCell ref="AA391:AA392"/>
    <mergeCell ref="AD396:AD397"/>
    <mergeCell ref="AE396:AE397"/>
    <mergeCell ref="AF396:AF397"/>
    <mergeCell ref="A401:BJ401"/>
    <mergeCell ref="H407:H408"/>
    <mergeCell ref="I407:I408"/>
    <mergeCell ref="J407:J408"/>
    <mergeCell ref="K407:K408"/>
    <mergeCell ref="L407:L408"/>
    <mergeCell ref="M407:M408"/>
    <mergeCell ref="N407:N408"/>
    <mergeCell ref="BE407:BE408"/>
    <mergeCell ref="BF407:BF408"/>
    <mergeCell ref="BG407:BG408"/>
    <mergeCell ref="BH407:BH408"/>
    <mergeCell ref="BI407:BI408"/>
    <mergeCell ref="BJ407:BJ408"/>
    <mergeCell ref="AO407:AO408"/>
    <mergeCell ref="AH407:AH408"/>
    <mergeCell ref="AI407:AI408"/>
    <mergeCell ref="AJ407:AJ408"/>
    <mergeCell ref="AK407:AK408"/>
    <mergeCell ref="AL407:AL408"/>
    <mergeCell ref="AM407:AM408"/>
    <mergeCell ref="AN407:AN408"/>
    <mergeCell ref="AT407:AT408"/>
    <mergeCell ref="AU407:AU408"/>
    <mergeCell ref="AP407:AP408"/>
    <mergeCell ref="AD407:AD408"/>
    <mergeCell ref="AE407:AE408"/>
    <mergeCell ref="AF407:AF408"/>
    <mergeCell ref="AG407:AG408"/>
    <mergeCell ref="S407:S408"/>
    <mergeCell ref="T407:T408"/>
    <mergeCell ref="U407:U408"/>
    <mergeCell ref="X407:X408"/>
    <mergeCell ref="Y407:Y408"/>
    <mergeCell ref="Z407:Z408"/>
    <mergeCell ref="AA407:AA408"/>
    <mergeCell ref="AB407:AB408"/>
    <mergeCell ref="AC407:AC408"/>
    <mergeCell ref="BC407:BC408"/>
    <mergeCell ref="BD407:BD408"/>
    <mergeCell ref="AV407:AV408"/>
    <mergeCell ref="AW407:AW408"/>
    <mergeCell ref="AX407:AX408"/>
    <mergeCell ref="AY407:AY408"/>
    <mergeCell ref="AZ407:AZ408"/>
    <mergeCell ref="BA407:BA408"/>
    <mergeCell ref="BB407:BB408"/>
    <mergeCell ref="AQ407:AQ408"/>
    <mergeCell ref="AR407:AR408"/>
    <mergeCell ref="AS407:AS408"/>
    <mergeCell ref="AR412:AR413"/>
    <mergeCell ref="AS412:AS413"/>
    <mergeCell ref="AT412:AT413"/>
    <mergeCell ref="AU412:AU413"/>
    <mergeCell ref="AV412:AV413"/>
    <mergeCell ref="AW412:AW413"/>
    <mergeCell ref="AX412:AX413"/>
    <mergeCell ref="AY412:AY413"/>
    <mergeCell ref="BG412:BG413"/>
    <mergeCell ref="BH412:BH413"/>
    <mergeCell ref="BI412:BI413"/>
    <mergeCell ref="BJ412:BJ413"/>
    <mergeCell ref="AZ412:AZ413"/>
    <mergeCell ref="BA412:BA413"/>
    <mergeCell ref="BB412:BB413"/>
    <mergeCell ref="BC412:BC413"/>
    <mergeCell ref="BD412:BD413"/>
    <mergeCell ref="BE412:BE413"/>
    <mergeCell ref="BF412:BF41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zoomScaleNormal="100" workbookViewId="0">
      <selection activeCell="P24" sqref="P24"/>
    </sheetView>
  </sheetViews>
  <sheetFormatPr defaultColWidth="14.42578125" defaultRowHeight="15" customHeight="1" x14ac:dyDescent="0.25"/>
  <cols>
    <col min="1" max="1" width="10.7109375" style="37" customWidth="1"/>
    <col min="2" max="2" width="8.5703125" style="37" customWidth="1"/>
    <col min="3" max="3" width="36.5703125" style="37" customWidth="1"/>
    <col min="4" max="6" width="15.7109375" style="37" customWidth="1"/>
    <col min="7" max="7" width="32.85546875" style="37" customWidth="1"/>
    <col min="8" max="8" width="18" style="37" customWidth="1"/>
    <col min="9" max="12" width="11.7109375" style="37" customWidth="1"/>
    <col min="13" max="13" width="20.7109375" style="37" bestFit="1" customWidth="1"/>
    <col min="14" max="14" width="4.7109375" style="37" customWidth="1"/>
    <col min="15" max="15" width="20.7109375" style="37" customWidth="1"/>
    <col min="16" max="16" width="27.7109375" style="37" customWidth="1"/>
    <col min="17" max="28" width="4.7109375" style="37" customWidth="1"/>
    <col min="29" max="16384" width="14.42578125" style="37"/>
  </cols>
  <sheetData>
    <row r="1" spans="1:28" ht="15.75" x14ac:dyDescent="0.25">
      <c r="A1" s="33"/>
      <c r="B1" s="34"/>
      <c r="C1" s="35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5.75" x14ac:dyDescent="0.25">
      <c r="A2" s="38"/>
      <c r="B2" s="39"/>
      <c r="C2" s="39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15.75" x14ac:dyDescent="0.25">
      <c r="A3" s="41"/>
      <c r="B3" s="41"/>
      <c r="C3" s="42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28" ht="15.75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31.5" x14ac:dyDescent="0.25">
      <c r="C5" s="44" t="s">
        <v>4</v>
      </c>
      <c r="D5" s="45" t="str">
        <f>'Polla - Grupos'!C435</f>
        <v>PUNTOS ACUM</v>
      </c>
      <c r="E5" s="30" t="s">
        <v>134</v>
      </c>
      <c r="F5" s="42"/>
      <c r="G5" s="30" t="s">
        <v>135</v>
      </c>
      <c r="H5" s="30" t="s">
        <v>65</v>
      </c>
      <c r="I5" s="26" t="s">
        <v>136</v>
      </c>
      <c r="J5" s="26" t="s">
        <v>137</v>
      </c>
      <c r="K5" s="28" t="s">
        <v>138</v>
      </c>
      <c r="L5" s="28" t="s">
        <v>139</v>
      </c>
      <c r="M5" s="31" t="s">
        <v>141</v>
      </c>
      <c r="N5" s="46"/>
      <c r="O5" s="31" t="s">
        <v>140</v>
      </c>
      <c r="P5" s="32" t="s">
        <v>142</v>
      </c>
    </row>
    <row r="6" spans="1:28" ht="15.75" x14ac:dyDescent="0.25">
      <c r="C6" s="47" t="str">
        <f>'Polla - Grupos'!D8</f>
        <v>Julian Uribe</v>
      </c>
      <c r="D6" s="48">
        <f>'Polla - Grupos'!D435</f>
        <v>0</v>
      </c>
      <c r="E6" s="49">
        <f>COUNTIF($D$6:$D$64, "&gt;"&amp;D6) + COUNTIF($D$6:D6, D6)</f>
        <v>1</v>
      </c>
      <c r="F6" s="43"/>
      <c r="G6" s="50" t="str">
        <f>INDEX($C$6:$C$64, MATCH(ROW(A1), $E$6:$E$64, 0))</f>
        <v>Julian Uribe</v>
      </c>
      <c r="H6" s="51">
        <f>INDEX($D$6:$D$64, MATCH(ROW(A1), $E$6:$E$64, 0))</f>
        <v>0</v>
      </c>
      <c r="I6" s="27">
        <f t="array" ref="I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0))=5))</f>
        <v>0</v>
      </c>
      <c r="J6" s="27">
        <f t="array" ref="J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0))=3))</f>
        <v>0</v>
      </c>
      <c r="K6" s="27">
        <f t="array" ref="K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0))=2))</f>
        <v>0</v>
      </c>
      <c r="L6" s="27">
        <f t="array" ref="L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MATCH(G6, 'Polla - Grupos'!$D$8:$BR$8, 0))=1))</f>
        <v>0</v>
      </c>
      <c r="M6" s="52">
        <f>H6 + (I6 * 0.001) + (J6 * 0.000001) + (K6 * 0.000000001) + (L6 * 0.000000000001)</f>
        <v>0</v>
      </c>
      <c r="N6" s="53"/>
      <c r="O6" s="52">
        <f>COUNTIF($M$6:$M$70, "&gt;"&amp;M6) + COUNTIF($M$6:M6, M6)</f>
        <v>1</v>
      </c>
      <c r="P6" s="54" t="str">
        <f>INDEX($G$6:$G$70, MATCH(ROW(A1), $O$6:$O$70, 0))</f>
        <v>Julian Uribe</v>
      </c>
    </row>
    <row r="7" spans="1:28" ht="15.75" x14ac:dyDescent="0.25">
      <c r="C7" s="47" t="str">
        <f>'Polla - Grupos'!E8</f>
        <v>Yulian Sanchez</v>
      </c>
      <c r="D7" s="48">
        <f>'Polla - Grupos'!E435</f>
        <v>0</v>
      </c>
      <c r="E7" s="49">
        <f>COUNTIF($D$6:$D$64, "&gt;"&amp;D7) + COUNTIF($D$6:D7, D7)</f>
        <v>2</v>
      </c>
      <c r="F7" s="43"/>
      <c r="G7" s="50" t="str">
        <f t="shared" ref="G7:G64" si="0">INDEX($C$6:$C$64, MATCH(ROW(A2), $E$6:$E$64, 0))</f>
        <v>Yulian Sanchez</v>
      </c>
      <c r="H7" s="51">
        <f t="shared" ref="H7:H64" si="1">INDEX($D$6:$D$64, MATCH(ROW(A2), $E$6:$E$64, 0))</f>
        <v>0</v>
      </c>
      <c r="I7" s="27">
        <f t="array" ref="I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0))=5))</f>
        <v>0</v>
      </c>
      <c r="J7" s="27">
        <f t="array" ref="J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0))=3))</f>
        <v>0</v>
      </c>
      <c r="K7" s="27">
        <f t="array" ref="K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0))=2))</f>
        <v>0</v>
      </c>
      <c r="L7" s="27">
        <f t="array" ref="L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MATCH(G7, 'Polla - Grupos'!$D$8:$BR$8, 0))=1))</f>
        <v>0</v>
      </c>
      <c r="M7" s="52">
        <f t="shared" ref="M7:M64" si="2">H7 + (I7 * 0.001) + (J7 * 0.000001) + (K7 * 0.000000001) + (L7 * 0.000000000001)</f>
        <v>0</v>
      </c>
      <c r="N7" s="53"/>
      <c r="O7" s="52">
        <f>COUNTIF($M$6:$M$70, "&gt;"&amp;M7) + COUNTIF($M$6:M7, M7)</f>
        <v>2</v>
      </c>
      <c r="P7" s="54" t="str">
        <f t="shared" ref="P7:P64" si="3">INDEX($G$6:$G$70, MATCH(ROW(A2), $O$6:$O$70, 0))</f>
        <v>Yulian Sanchez</v>
      </c>
    </row>
    <row r="8" spans="1:28" ht="15.75" x14ac:dyDescent="0.25">
      <c r="C8" s="47" t="str">
        <f>'Polla - Grupos'!F8</f>
        <v>Francisco Moreno</v>
      </c>
      <c r="D8" s="48">
        <f>'Polla - Grupos'!F435</f>
        <v>0</v>
      </c>
      <c r="E8" s="49">
        <f>COUNTIF($D$6:$D$64, "&gt;"&amp;D8) + COUNTIF($D$6:D8, D8)</f>
        <v>3</v>
      </c>
      <c r="F8" s="43"/>
      <c r="G8" s="50" t="str">
        <f t="shared" si="0"/>
        <v>Francisco Moreno</v>
      </c>
      <c r="H8" s="51">
        <f t="shared" si="1"/>
        <v>0</v>
      </c>
      <c r="I8" s="27">
        <f t="array" ref="I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0))=5))</f>
        <v>0</v>
      </c>
      <c r="J8" s="27">
        <f t="array" ref="J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0))=3))</f>
        <v>0</v>
      </c>
      <c r="K8" s="27">
        <f t="array" ref="K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0))=2))</f>
        <v>0</v>
      </c>
      <c r="L8" s="27">
        <f t="array" ref="L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MATCH(G8, 'Polla - Grupos'!$D$8:$BR$8, 0))=1))</f>
        <v>0</v>
      </c>
      <c r="M8" s="52">
        <f t="shared" si="2"/>
        <v>0</v>
      </c>
      <c r="N8" s="53"/>
      <c r="O8" s="52">
        <f>COUNTIF($M$6:$M$70, "&gt;"&amp;M8) + COUNTIF($M$6:M8, M8)</f>
        <v>3</v>
      </c>
      <c r="P8" s="54" t="str">
        <f t="shared" si="3"/>
        <v>Francisco Moreno</v>
      </c>
    </row>
    <row r="9" spans="1:28" ht="15.75" x14ac:dyDescent="0.25">
      <c r="C9" s="47" t="str">
        <f>'Polla - Grupos'!G8</f>
        <v>Mauricio Guerrero</v>
      </c>
      <c r="D9" s="48">
        <f>'Polla - Grupos'!G435</f>
        <v>0</v>
      </c>
      <c r="E9" s="49">
        <f>COUNTIF($D$6:$D$64, "&gt;"&amp;D9) + COUNTIF($D$6:D9, D9)</f>
        <v>4</v>
      </c>
      <c r="F9" s="43"/>
      <c r="G9" s="50" t="str">
        <f t="shared" si="0"/>
        <v>Mauricio Guerrero</v>
      </c>
      <c r="H9" s="51">
        <f t="shared" si="1"/>
        <v>0</v>
      </c>
      <c r="I9" s="27">
        <f t="array" ref="I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0))=5))</f>
        <v>0</v>
      </c>
      <c r="J9" s="27">
        <f t="array" ref="J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0))=3))</f>
        <v>0</v>
      </c>
      <c r="K9" s="27">
        <f t="array" ref="K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0))=2))</f>
        <v>0</v>
      </c>
      <c r="L9" s="27">
        <f t="array" ref="L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MATCH(G9, 'Polla - Grupos'!$D$8:$BR$8, 0))=1))</f>
        <v>0</v>
      </c>
      <c r="M9" s="52">
        <f t="shared" si="2"/>
        <v>0</v>
      </c>
      <c r="N9" s="53"/>
      <c r="O9" s="52">
        <f>COUNTIF($M$6:$M$70, "&gt;"&amp;M9) + COUNTIF($M$6:M9, M9)</f>
        <v>4</v>
      </c>
      <c r="P9" s="54" t="str">
        <f t="shared" si="3"/>
        <v>Mauricio Guerrero</v>
      </c>
    </row>
    <row r="10" spans="1:28" ht="15.75" x14ac:dyDescent="0.25">
      <c r="C10" s="47" t="str">
        <f>'Polla - Grupos'!H8</f>
        <v>Gustavo Guerrero</v>
      </c>
      <c r="D10" s="48">
        <f>'Polla - Grupos'!H435</f>
        <v>0</v>
      </c>
      <c r="E10" s="49">
        <f>COUNTIF($D$6:$D$64, "&gt;"&amp;D10) + COUNTIF($D$6:D10, D10)</f>
        <v>5</v>
      </c>
      <c r="F10" s="43"/>
      <c r="G10" s="50" t="str">
        <f t="shared" si="0"/>
        <v>Gustavo Guerrero</v>
      </c>
      <c r="H10" s="51">
        <f t="shared" si="1"/>
        <v>0</v>
      </c>
      <c r="I10" s="27">
        <f t="array" ref="I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0))=5))</f>
        <v>0</v>
      </c>
      <c r="J10" s="27">
        <f t="array" ref="J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0))=3))</f>
        <v>0</v>
      </c>
      <c r="K10" s="27">
        <f t="array" ref="K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0))=2))</f>
        <v>0</v>
      </c>
      <c r="L10" s="27">
        <f t="array" ref="L1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MATCH(G10, 'Polla - Grupos'!$D$8:$BR$8, 0))=1))</f>
        <v>0</v>
      </c>
      <c r="M10" s="52">
        <f t="shared" si="2"/>
        <v>0</v>
      </c>
      <c r="N10" s="53"/>
      <c r="O10" s="52">
        <f>COUNTIF($M$6:$M$70, "&gt;"&amp;M10) + COUNTIF($M$6:M10, M10)</f>
        <v>5</v>
      </c>
      <c r="P10" s="54" t="str">
        <f t="shared" si="3"/>
        <v>Gustavo Guerrero</v>
      </c>
    </row>
    <row r="11" spans="1:28" ht="15.75" x14ac:dyDescent="0.25">
      <c r="C11" s="47" t="str">
        <f>'Polla - Grupos'!I8</f>
        <v>Gerardo Martinez</v>
      </c>
      <c r="D11" s="48">
        <f>'Polla - Grupos'!I435</f>
        <v>0</v>
      </c>
      <c r="E11" s="49">
        <f>COUNTIF($D$6:$D$64, "&gt;"&amp;D11) + COUNTIF($D$6:D11, D11)</f>
        <v>6</v>
      </c>
      <c r="F11" s="43"/>
      <c r="G11" s="50" t="str">
        <f t="shared" si="0"/>
        <v>Gerardo Martinez</v>
      </c>
      <c r="H11" s="51">
        <f t="shared" si="1"/>
        <v>0</v>
      </c>
      <c r="I11" s="27">
        <f t="array" ref="I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0))=5))</f>
        <v>0</v>
      </c>
      <c r="J11" s="27">
        <f t="array" ref="J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0))=3))</f>
        <v>0</v>
      </c>
      <c r="K11" s="27">
        <f t="array" ref="K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0))=2))</f>
        <v>0</v>
      </c>
      <c r="L11" s="27">
        <f t="array" ref="L1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MATCH(G11, 'Polla - Grupos'!$D$8:$BR$8, 0))=1))</f>
        <v>0</v>
      </c>
      <c r="M11" s="52">
        <f t="shared" si="2"/>
        <v>0</v>
      </c>
      <c r="N11" s="53"/>
      <c r="O11" s="52">
        <f>COUNTIF($M$6:$M$70, "&gt;"&amp;M11) + COUNTIF($M$6:M11, M11)</f>
        <v>6</v>
      </c>
      <c r="P11" s="54" t="str">
        <f t="shared" si="3"/>
        <v>Gerardo Martinez</v>
      </c>
    </row>
    <row r="12" spans="1:28" ht="15.75" x14ac:dyDescent="0.25">
      <c r="C12" s="47" t="str">
        <f>'Polla - Grupos'!J8</f>
        <v>Nora Perez</v>
      </c>
      <c r="D12" s="48">
        <f>'Polla - Grupos'!J435</f>
        <v>0</v>
      </c>
      <c r="E12" s="49">
        <f>COUNTIF($D$6:$D$64, "&gt;"&amp;D12) + COUNTIF($D$6:D12, D12)</f>
        <v>7</v>
      </c>
      <c r="F12" s="43"/>
      <c r="G12" s="50" t="str">
        <f t="shared" si="0"/>
        <v>Nora Perez</v>
      </c>
      <c r="H12" s="51">
        <f t="shared" si="1"/>
        <v>0</v>
      </c>
      <c r="I12" s="27">
        <f t="array" ref="I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0))=5))</f>
        <v>0</v>
      </c>
      <c r="J12" s="27">
        <f t="array" ref="J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0))=3))</f>
        <v>0</v>
      </c>
      <c r="K12" s="27">
        <f t="array" ref="K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0))=2))</f>
        <v>0</v>
      </c>
      <c r="L12" s="27">
        <f t="array" ref="L1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MATCH(G12, 'Polla - Grupos'!$D$8:$BR$8, 0))=1))</f>
        <v>0</v>
      </c>
      <c r="M12" s="52">
        <f t="shared" si="2"/>
        <v>0</v>
      </c>
      <c r="N12" s="53"/>
      <c r="O12" s="52">
        <f>COUNTIF($M$6:$M$70, "&gt;"&amp;M12) + COUNTIF($M$6:M12, M12)</f>
        <v>7</v>
      </c>
      <c r="P12" s="54" t="str">
        <f t="shared" si="3"/>
        <v>Nora Perez</v>
      </c>
    </row>
    <row r="13" spans="1:28" ht="15.75" x14ac:dyDescent="0.25">
      <c r="C13" s="47" t="str">
        <f>'Polla - Grupos'!K8</f>
        <v>Laura Rodriguez</v>
      </c>
      <c r="D13" s="48">
        <f>'Polla - Grupos'!K435</f>
        <v>0</v>
      </c>
      <c r="E13" s="49">
        <f>COUNTIF($D$6:$D$64, "&gt;"&amp;D13) + COUNTIF($D$6:D13, D13)</f>
        <v>8</v>
      </c>
      <c r="F13" s="43"/>
      <c r="G13" s="50" t="str">
        <f t="shared" si="0"/>
        <v>Laura Rodriguez</v>
      </c>
      <c r="H13" s="51">
        <f t="shared" si="1"/>
        <v>0</v>
      </c>
      <c r="I13" s="27">
        <f t="array" ref="I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0))=5))</f>
        <v>0</v>
      </c>
      <c r="J13" s="27">
        <f t="array" ref="J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0))=3))</f>
        <v>0</v>
      </c>
      <c r="K13" s="27">
        <f t="array" ref="K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0))=2))</f>
        <v>0</v>
      </c>
      <c r="L13" s="27">
        <f t="array" ref="L1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MATCH(G13, 'Polla - Grupos'!$D$8:$BR$8, 0))=1))</f>
        <v>0</v>
      </c>
      <c r="M13" s="52">
        <f t="shared" si="2"/>
        <v>0</v>
      </c>
      <c r="N13" s="53"/>
      <c r="O13" s="52">
        <f>COUNTIF($M$6:$M$70, "&gt;"&amp;M13) + COUNTIF($M$6:M13, M13)</f>
        <v>8</v>
      </c>
      <c r="P13" s="54" t="str">
        <f t="shared" si="3"/>
        <v>Laura Rodriguez</v>
      </c>
    </row>
    <row r="14" spans="1:28" ht="15.75" x14ac:dyDescent="0.25">
      <c r="C14" s="47" t="str">
        <f>'Polla - Grupos'!L8</f>
        <v>Jhoana Moreno</v>
      </c>
      <c r="D14" s="48">
        <f>'Polla - Grupos'!L435</f>
        <v>0</v>
      </c>
      <c r="E14" s="49">
        <f>COUNTIF($D$6:$D$64, "&gt;"&amp;D14) + COUNTIF($D$6:D14, D14)</f>
        <v>9</v>
      </c>
      <c r="F14" s="43"/>
      <c r="G14" s="50" t="str">
        <f t="shared" si="0"/>
        <v>Jhoana Moreno</v>
      </c>
      <c r="H14" s="51">
        <f t="shared" si="1"/>
        <v>0</v>
      </c>
      <c r="I14" s="27">
        <f t="array" ref="I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0))=5))</f>
        <v>0</v>
      </c>
      <c r="J14" s="27">
        <f t="array" ref="J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0))=3))</f>
        <v>0</v>
      </c>
      <c r="K14" s="27">
        <f t="array" ref="K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0))=2))</f>
        <v>0</v>
      </c>
      <c r="L14" s="27">
        <f t="array" ref="L1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MATCH(G14, 'Polla - Grupos'!$D$8:$BR$8, 0))=1))</f>
        <v>0</v>
      </c>
      <c r="M14" s="52">
        <f t="shared" si="2"/>
        <v>0</v>
      </c>
      <c r="N14" s="53"/>
      <c r="O14" s="52">
        <f>COUNTIF($M$6:$M$70, "&gt;"&amp;M14) + COUNTIF($M$6:M14, M14)</f>
        <v>9</v>
      </c>
      <c r="P14" s="54" t="str">
        <f t="shared" si="3"/>
        <v>Jhoana Moreno</v>
      </c>
    </row>
    <row r="15" spans="1:28" ht="15.75" x14ac:dyDescent="0.25">
      <c r="C15" s="47" t="str">
        <f>'Polla - Grupos'!M8</f>
        <v xml:space="preserve">Yoselin Salinas </v>
      </c>
      <c r="D15" s="48">
        <f>'Polla - Grupos'!M435</f>
        <v>0</v>
      </c>
      <c r="E15" s="49">
        <f>COUNTIF($D$6:$D$64, "&gt;"&amp;D15) + COUNTIF($D$6:D15, D15)</f>
        <v>10</v>
      </c>
      <c r="F15" s="43"/>
      <c r="G15" s="50" t="str">
        <f t="shared" si="0"/>
        <v xml:space="preserve">Yoselin Salinas </v>
      </c>
      <c r="H15" s="51">
        <f t="shared" si="1"/>
        <v>0</v>
      </c>
      <c r="I15" s="27">
        <f t="array" ref="I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0))=5))</f>
        <v>0</v>
      </c>
      <c r="J15" s="27">
        <f t="array" ref="J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0))=3))</f>
        <v>0</v>
      </c>
      <c r="K15" s="27">
        <f t="array" ref="K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0))=2))</f>
        <v>0</v>
      </c>
      <c r="L15" s="27">
        <f t="array" ref="L1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MATCH(G15, 'Polla - Grupos'!$D$8:$BR$8, 0))=1))</f>
        <v>0</v>
      </c>
      <c r="M15" s="52">
        <f t="shared" si="2"/>
        <v>0</v>
      </c>
      <c r="N15" s="53"/>
      <c r="O15" s="52">
        <f>COUNTIF($M$6:$M$70, "&gt;"&amp;M15) + COUNTIF($M$6:M15, M15)</f>
        <v>10</v>
      </c>
      <c r="P15" s="54" t="str">
        <f t="shared" si="3"/>
        <v xml:space="preserve">Yoselin Salinas </v>
      </c>
    </row>
    <row r="16" spans="1:28" ht="15.75" x14ac:dyDescent="0.25">
      <c r="C16" s="47" t="str">
        <f>'Polla - Grupos'!N8</f>
        <v>Luis Diaz</v>
      </c>
      <c r="D16" s="48">
        <f>'Polla - Grupos'!N435</f>
        <v>0</v>
      </c>
      <c r="E16" s="49">
        <f>COUNTIF($D$6:$D$64, "&gt;"&amp;D16) + COUNTIF($D$6:D16, D16)</f>
        <v>11</v>
      </c>
      <c r="F16" s="43"/>
      <c r="G16" s="50" t="str">
        <f t="shared" si="0"/>
        <v>Luis Diaz</v>
      </c>
      <c r="H16" s="51">
        <f t="shared" si="1"/>
        <v>0</v>
      </c>
      <c r="I16" s="27">
        <f t="array" ref="I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0))=5))</f>
        <v>0</v>
      </c>
      <c r="J16" s="27">
        <f t="array" ref="J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0))=3))</f>
        <v>0</v>
      </c>
      <c r="K16" s="27">
        <f t="array" ref="K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0))=2))</f>
        <v>0</v>
      </c>
      <c r="L16" s="27">
        <f t="array" ref="L1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MATCH(G16, 'Polla - Grupos'!$D$8:$BR$8, 0))=1))</f>
        <v>0</v>
      </c>
      <c r="M16" s="52">
        <f t="shared" si="2"/>
        <v>0</v>
      </c>
      <c r="N16" s="53"/>
      <c r="O16" s="52">
        <f>COUNTIF($M$6:$M$70, "&gt;"&amp;M16) + COUNTIF($M$6:M16, M16)</f>
        <v>11</v>
      </c>
      <c r="P16" s="54" t="str">
        <f t="shared" si="3"/>
        <v>Luis Diaz</v>
      </c>
    </row>
    <row r="17" spans="3:16" ht="15.75" x14ac:dyDescent="0.25">
      <c r="C17" s="47" t="str">
        <f>'Polla - Grupos'!O8</f>
        <v>Diela del Carmen</v>
      </c>
      <c r="D17" s="48">
        <f>'Polla - Grupos'!O435</f>
        <v>0</v>
      </c>
      <c r="E17" s="49">
        <f>COUNTIF($D$6:$D$64, "&gt;"&amp;D17) + COUNTIF($D$6:D17, D17)</f>
        <v>12</v>
      </c>
      <c r="F17" s="43"/>
      <c r="G17" s="50" t="str">
        <f t="shared" si="0"/>
        <v>Diela del Carmen</v>
      </c>
      <c r="H17" s="51">
        <f t="shared" si="1"/>
        <v>0</v>
      </c>
      <c r="I17" s="27">
        <f t="array" ref="I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0))=5))</f>
        <v>0</v>
      </c>
      <c r="J17" s="27">
        <f t="array" ref="J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0))=3))</f>
        <v>0</v>
      </c>
      <c r="K17" s="27">
        <f t="array" ref="K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0))=2))</f>
        <v>0</v>
      </c>
      <c r="L17" s="27">
        <f t="array" ref="L1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MATCH(G17, 'Polla - Grupos'!$D$8:$BR$8, 0))=1))</f>
        <v>0</v>
      </c>
      <c r="M17" s="52">
        <f t="shared" si="2"/>
        <v>0</v>
      </c>
      <c r="N17" s="53"/>
      <c r="O17" s="52">
        <f>COUNTIF($M$6:$M$70, "&gt;"&amp;M17) + COUNTIF($M$6:M17, M17)</f>
        <v>12</v>
      </c>
      <c r="P17" s="54" t="str">
        <f t="shared" si="3"/>
        <v>Diela del Carmen</v>
      </c>
    </row>
    <row r="18" spans="3:16" ht="15.75" x14ac:dyDescent="0.25">
      <c r="C18" s="47" t="str">
        <f>'Polla - Grupos'!P8</f>
        <v>Paola Agredo</v>
      </c>
      <c r="D18" s="48">
        <f>'Polla - Grupos'!P435</f>
        <v>0</v>
      </c>
      <c r="E18" s="49">
        <f>COUNTIF($D$6:$D$64, "&gt;"&amp;D18) + COUNTIF($D$6:D18, D18)</f>
        <v>13</v>
      </c>
      <c r="F18" s="43"/>
      <c r="G18" s="50" t="str">
        <f t="shared" si="0"/>
        <v>Paola Agredo</v>
      </c>
      <c r="H18" s="51">
        <f t="shared" si="1"/>
        <v>0</v>
      </c>
      <c r="I18" s="27">
        <f t="array" ref="I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0))=5))</f>
        <v>0</v>
      </c>
      <c r="J18" s="27">
        <f t="array" ref="J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0))=3))</f>
        <v>0</v>
      </c>
      <c r="K18" s="27">
        <f t="array" ref="K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0))=2))</f>
        <v>0</v>
      </c>
      <c r="L18" s="27">
        <f t="array" ref="L1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MATCH(G18, 'Polla - Grupos'!$D$8:$BR$8, 0))=1))</f>
        <v>0</v>
      </c>
      <c r="M18" s="52">
        <f t="shared" si="2"/>
        <v>0</v>
      </c>
      <c r="N18" s="53"/>
      <c r="O18" s="52">
        <f>COUNTIF($M$6:$M$70, "&gt;"&amp;M18) + COUNTIF($M$6:M18, M18)</f>
        <v>13</v>
      </c>
      <c r="P18" s="54" t="str">
        <f t="shared" si="3"/>
        <v>Paola Agredo</v>
      </c>
    </row>
    <row r="19" spans="3:16" ht="15.75" x14ac:dyDescent="0.25">
      <c r="C19" s="47" t="str">
        <f>'Polla - Grupos'!Q8</f>
        <v>Oscar Suarez</v>
      </c>
      <c r="D19" s="48">
        <f>'Polla - Grupos'!Q435</f>
        <v>0</v>
      </c>
      <c r="E19" s="49">
        <f>COUNTIF($D$6:$D$64, "&gt;"&amp;D19) + COUNTIF($D$6:D19, D19)</f>
        <v>14</v>
      </c>
      <c r="F19" s="43"/>
      <c r="G19" s="50" t="str">
        <f t="shared" si="0"/>
        <v>Oscar Suarez</v>
      </c>
      <c r="H19" s="51">
        <f t="shared" si="1"/>
        <v>0</v>
      </c>
      <c r="I19" s="27">
        <f t="array" ref="I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0))=5))</f>
        <v>0</v>
      </c>
      <c r="J19" s="27">
        <f t="array" ref="J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0))=3))</f>
        <v>0</v>
      </c>
      <c r="K19" s="27">
        <f t="array" ref="K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0))=2))</f>
        <v>0</v>
      </c>
      <c r="L19" s="27">
        <f t="array" ref="L1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MATCH(G19, 'Polla - Grupos'!$D$8:$BR$8, 0))=1))</f>
        <v>0</v>
      </c>
      <c r="M19" s="52">
        <f t="shared" si="2"/>
        <v>0</v>
      </c>
      <c r="N19" s="53"/>
      <c r="O19" s="52">
        <f>COUNTIF($M$6:$M$70, "&gt;"&amp;M19) + COUNTIF($M$6:M19, M19)</f>
        <v>14</v>
      </c>
      <c r="P19" s="54" t="str">
        <f t="shared" si="3"/>
        <v>Oscar Suarez</v>
      </c>
    </row>
    <row r="20" spans="3:16" ht="15.75" x14ac:dyDescent="0.25">
      <c r="C20" s="47" t="str">
        <f>'Polla - Grupos'!R8</f>
        <v>Paulo Figueroa</v>
      </c>
      <c r="D20" s="48">
        <f>'Polla - Grupos'!R435</f>
        <v>0</v>
      </c>
      <c r="E20" s="49">
        <f>COUNTIF($D$6:$D$64, "&gt;"&amp;D20) + COUNTIF($D$6:D20, D20)</f>
        <v>15</v>
      </c>
      <c r="F20" s="43"/>
      <c r="G20" s="50" t="str">
        <f t="shared" si="0"/>
        <v>Paulo Figueroa</v>
      </c>
      <c r="H20" s="51">
        <f t="shared" si="1"/>
        <v>0</v>
      </c>
      <c r="I20" s="27">
        <f t="array" ref="I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0))=5))</f>
        <v>0</v>
      </c>
      <c r="J20" s="27">
        <f t="array" ref="J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0))=3))</f>
        <v>0</v>
      </c>
      <c r="K20" s="27">
        <f t="array" ref="K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0))=2))</f>
        <v>0</v>
      </c>
      <c r="L20" s="27">
        <f t="array" ref="L2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MATCH(G20, 'Polla - Grupos'!$D$8:$BR$8, 0))=1))</f>
        <v>0</v>
      </c>
      <c r="M20" s="52">
        <f t="shared" si="2"/>
        <v>0</v>
      </c>
      <c r="N20" s="53"/>
      <c r="O20" s="52">
        <f>COUNTIF($M$6:$M$70, "&gt;"&amp;M20) + COUNTIF($M$6:M20, M20)</f>
        <v>15</v>
      </c>
      <c r="P20" s="54" t="str">
        <f t="shared" si="3"/>
        <v>Paulo Figueroa</v>
      </c>
    </row>
    <row r="21" spans="3:16" ht="15.75" x14ac:dyDescent="0.25">
      <c r="C21" s="47" t="str">
        <f>'Polla - Grupos'!S8</f>
        <v xml:space="preserve">Jean Piere </v>
      </c>
      <c r="D21" s="48">
        <f>'Polla - Grupos'!S435</f>
        <v>0</v>
      </c>
      <c r="E21" s="49">
        <f>COUNTIF($D$6:$D$64, "&gt;"&amp;D21) + COUNTIF($D$6:D21, D21)</f>
        <v>16</v>
      </c>
      <c r="F21" s="43"/>
      <c r="G21" s="50" t="str">
        <f t="shared" si="0"/>
        <v xml:space="preserve">Jean Piere </v>
      </c>
      <c r="H21" s="51">
        <f t="shared" si="1"/>
        <v>0</v>
      </c>
      <c r="I21" s="27">
        <f t="array" ref="I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0))=5))</f>
        <v>0</v>
      </c>
      <c r="J21" s="27">
        <f t="array" ref="J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0))=3))</f>
        <v>0</v>
      </c>
      <c r="K21" s="27">
        <f t="array" ref="K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0))=2))</f>
        <v>0</v>
      </c>
      <c r="L21" s="27">
        <f t="array" ref="L2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MATCH(G21, 'Polla - Grupos'!$D$8:$BR$8, 0))=1))</f>
        <v>0</v>
      </c>
      <c r="M21" s="52">
        <f t="shared" si="2"/>
        <v>0</v>
      </c>
      <c r="N21" s="53"/>
      <c r="O21" s="52">
        <f>COUNTIF($M$6:$M$70, "&gt;"&amp;M21) + COUNTIF($M$6:M21, M21)</f>
        <v>16</v>
      </c>
      <c r="P21" s="54" t="str">
        <f t="shared" si="3"/>
        <v xml:space="preserve">Jean Piere </v>
      </c>
    </row>
    <row r="22" spans="3:16" ht="15.75" x14ac:dyDescent="0.25">
      <c r="C22" s="47" t="str">
        <f>'Polla - Grupos'!T8</f>
        <v>David Diaz</v>
      </c>
      <c r="D22" s="48">
        <f>'Polla - Grupos'!T435</f>
        <v>0</v>
      </c>
      <c r="E22" s="49">
        <f>COUNTIF($D$6:$D$64, "&gt;"&amp;D22) + COUNTIF($D$6:D22, D22)</f>
        <v>17</v>
      </c>
      <c r="F22" s="43"/>
      <c r="G22" s="50" t="str">
        <f t="shared" si="0"/>
        <v>David Diaz</v>
      </c>
      <c r="H22" s="51">
        <f t="shared" si="1"/>
        <v>0</v>
      </c>
      <c r="I22" s="27">
        <f t="array" ref="I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0))=5))</f>
        <v>0</v>
      </c>
      <c r="J22" s="27">
        <f t="array" ref="J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0))=3))</f>
        <v>0</v>
      </c>
      <c r="K22" s="27">
        <f t="array" ref="K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0))=2))</f>
        <v>0</v>
      </c>
      <c r="L22" s="27">
        <f t="array" ref="L2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MATCH(G22, 'Polla - Grupos'!$D$8:$BR$8, 0))=1))</f>
        <v>0</v>
      </c>
      <c r="M22" s="52">
        <f t="shared" si="2"/>
        <v>0</v>
      </c>
      <c r="N22" s="53"/>
      <c r="O22" s="52">
        <f>COUNTIF($M$6:$M$70, "&gt;"&amp;M22) + COUNTIF($M$6:M22, M22)</f>
        <v>17</v>
      </c>
      <c r="P22" s="54" t="str">
        <f t="shared" si="3"/>
        <v>David Diaz</v>
      </c>
    </row>
    <row r="23" spans="3:16" ht="15.75" x14ac:dyDescent="0.25">
      <c r="C23" s="47" t="str">
        <f>'Polla - Grupos'!U8</f>
        <v xml:space="preserve">Christian Giraldo </v>
      </c>
      <c r="D23" s="48">
        <f>'Polla - Grupos'!U435</f>
        <v>0</v>
      </c>
      <c r="E23" s="49">
        <f>COUNTIF($D$6:$D$64, "&gt;"&amp;D23) + COUNTIF($D$6:D23, D23)</f>
        <v>18</v>
      </c>
      <c r="F23" s="43"/>
      <c r="G23" s="50" t="str">
        <f t="shared" si="0"/>
        <v xml:space="preserve">Christian Giraldo </v>
      </c>
      <c r="H23" s="51">
        <f t="shared" si="1"/>
        <v>0</v>
      </c>
      <c r="I23" s="27">
        <f t="array" ref="I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0))=5))</f>
        <v>0</v>
      </c>
      <c r="J23" s="27">
        <f t="array" ref="J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0))=3))</f>
        <v>0</v>
      </c>
      <c r="K23" s="27">
        <f t="array" ref="K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0))=2))</f>
        <v>0</v>
      </c>
      <c r="L23" s="27">
        <f t="array" ref="L2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MATCH(G23, 'Polla - Grupos'!$D$8:$BR$8, 0))=1))</f>
        <v>0</v>
      </c>
      <c r="M23" s="52">
        <f t="shared" si="2"/>
        <v>0</v>
      </c>
      <c r="N23" s="53"/>
      <c r="O23" s="52">
        <f>COUNTIF($M$6:$M$70, "&gt;"&amp;M23) + COUNTIF($M$6:M23, M23)</f>
        <v>18</v>
      </c>
      <c r="P23" s="54" t="str">
        <f t="shared" si="3"/>
        <v xml:space="preserve">Christian Giraldo </v>
      </c>
    </row>
    <row r="24" spans="3:16" ht="15.75" x14ac:dyDescent="0.25">
      <c r="C24" s="47" t="str">
        <f>'Polla - Grupos'!V8</f>
        <v>Viviana Hurtado</v>
      </c>
      <c r="D24" s="48">
        <f>'Polla - Grupos'!V435</f>
        <v>0</v>
      </c>
      <c r="E24" s="49">
        <f>COUNTIF($D$6:$D$64, "&gt;"&amp;D24) + COUNTIF($D$6:D24, D24)</f>
        <v>19</v>
      </c>
      <c r="F24" s="43"/>
      <c r="G24" s="50" t="str">
        <f t="shared" si="0"/>
        <v>Viviana Hurtado</v>
      </c>
      <c r="H24" s="51">
        <f t="shared" si="1"/>
        <v>0</v>
      </c>
      <c r="I24" s="27">
        <f t="array" ref="I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0))=5))</f>
        <v>0</v>
      </c>
      <c r="J24" s="27">
        <f t="array" ref="J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0))=3))</f>
        <v>0</v>
      </c>
      <c r="K24" s="27">
        <f t="array" ref="K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0))=2))</f>
        <v>0</v>
      </c>
      <c r="L24" s="27">
        <f t="array" ref="L2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MATCH(G24, 'Polla - Grupos'!$D$8:$BR$8, 0))=1))</f>
        <v>0</v>
      </c>
      <c r="M24" s="52">
        <f t="shared" si="2"/>
        <v>0</v>
      </c>
      <c r="N24" s="53"/>
      <c r="O24" s="52">
        <f>COUNTIF($M$6:$M$70, "&gt;"&amp;M24) + COUNTIF($M$6:M24, M24)</f>
        <v>19</v>
      </c>
      <c r="P24" s="54" t="str">
        <f t="shared" si="3"/>
        <v>Viviana Hurtado</v>
      </c>
    </row>
    <row r="25" spans="3:16" ht="15.75" x14ac:dyDescent="0.25">
      <c r="C25" s="47" t="str">
        <f>'Polla - Grupos'!W8</f>
        <v>James Chavez Ocampo</v>
      </c>
      <c r="D25" s="48">
        <f>'Polla - Grupos'!W435</f>
        <v>0</v>
      </c>
      <c r="E25" s="49">
        <f>COUNTIF($D$6:$D$64, "&gt;"&amp;D25) + COUNTIF($D$6:D25, D25)</f>
        <v>20</v>
      </c>
      <c r="F25" s="43"/>
      <c r="G25" s="50" t="str">
        <f t="shared" si="0"/>
        <v>James Chavez Ocampo</v>
      </c>
      <c r="H25" s="51">
        <f t="shared" si="1"/>
        <v>0</v>
      </c>
      <c r="I25" s="27">
        <f t="array" ref="I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0))=5))</f>
        <v>0</v>
      </c>
      <c r="J25" s="27">
        <f t="array" ref="J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0))=3))</f>
        <v>0</v>
      </c>
      <c r="K25" s="27">
        <f t="array" ref="K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0))=2))</f>
        <v>0</v>
      </c>
      <c r="L25" s="27">
        <f t="array" ref="L2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MATCH(G25, 'Polla - Grupos'!$D$8:$BR$8, 0))=1))</f>
        <v>0</v>
      </c>
      <c r="M25" s="52">
        <f t="shared" si="2"/>
        <v>0</v>
      </c>
      <c r="N25" s="53"/>
      <c r="O25" s="52">
        <f>COUNTIF($M$6:$M$70, "&gt;"&amp;M25) + COUNTIF($M$6:M25, M25)</f>
        <v>20</v>
      </c>
      <c r="P25" s="54" t="str">
        <f t="shared" si="3"/>
        <v>James Chavez Ocampo</v>
      </c>
    </row>
    <row r="26" spans="3:16" ht="15.75" x14ac:dyDescent="0.25">
      <c r="C26" s="47" t="str">
        <f>'Polla - Grupos'!X8</f>
        <v>Luis Felipe Sanchez</v>
      </c>
      <c r="D26" s="48">
        <f>'Polla - Grupos'!X435</f>
        <v>0</v>
      </c>
      <c r="E26" s="49">
        <f>COUNTIF($D$6:$D$64, "&gt;"&amp;D26) + COUNTIF($D$6:D26, D26)</f>
        <v>21</v>
      </c>
      <c r="F26" s="43"/>
      <c r="G26" s="50" t="str">
        <f t="shared" si="0"/>
        <v>Luis Felipe Sanchez</v>
      </c>
      <c r="H26" s="51">
        <f t="shared" si="1"/>
        <v>0</v>
      </c>
      <c r="I26" s="27">
        <f t="array" ref="I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0))=5))</f>
        <v>0</v>
      </c>
      <c r="J26" s="27">
        <f t="array" ref="J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0))=3))</f>
        <v>0</v>
      </c>
      <c r="K26" s="27">
        <f t="array" ref="K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0))=2))</f>
        <v>0</v>
      </c>
      <c r="L26" s="27">
        <f t="array" ref="L2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MATCH(G26, 'Polla - Grupos'!$D$8:$BR$8, 0))=1))</f>
        <v>0</v>
      </c>
      <c r="M26" s="52">
        <f t="shared" si="2"/>
        <v>0</v>
      </c>
      <c r="N26" s="53"/>
      <c r="O26" s="52">
        <f>COUNTIF($M$6:$M$70, "&gt;"&amp;M26) + COUNTIF($M$6:M26, M26)</f>
        <v>21</v>
      </c>
      <c r="P26" s="54" t="str">
        <f t="shared" si="3"/>
        <v>Luis Felipe Sanchez</v>
      </c>
    </row>
    <row r="27" spans="3:16" ht="15.75" x14ac:dyDescent="0.25">
      <c r="C27" s="47" t="str">
        <f>'Polla - Grupos'!Y8</f>
        <v>Laura Ossa</v>
      </c>
      <c r="D27" s="48">
        <f>'Polla - Grupos'!Y435</f>
        <v>0</v>
      </c>
      <c r="E27" s="49">
        <f>COUNTIF($D$6:$D$64, "&gt;"&amp;D27) + COUNTIF($D$6:D27, D27)</f>
        <v>22</v>
      </c>
      <c r="F27" s="43"/>
      <c r="G27" s="50" t="str">
        <f t="shared" si="0"/>
        <v>Laura Ossa</v>
      </c>
      <c r="H27" s="51">
        <f t="shared" si="1"/>
        <v>0</v>
      </c>
      <c r="I27" s="27">
        <f t="array" ref="I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0))=5))</f>
        <v>0</v>
      </c>
      <c r="J27" s="27">
        <f t="array" ref="J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0))=3))</f>
        <v>0</v>
      </c>
      <c r="K27" s="27">
        <f t="array" ref="K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0))=2))</f>
        <v>0</v>
      </c>
      <c r="L27" s="27">
        <f t="array" ref="L2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MATCH(G27, 'Polla - Grupos'!$D$8:$BR$8, 0))=1))</f>
        <v>0</v>
      </c>
      <c r="M27" s="52">
        <f t="shared" si="2"/>
        <v>0</v>
      </c>
      <c r="N27" s="53"/>
      <c r="O27" s="52">
        <f>COUNTIF($M$6:$M$70, "&gt;"&amp;M27) + COUNTIF($M$6:M27, M27)</f>
        <v>22</v>
      </c>
      <c r="P27" s="54" t="str">
        <f t="shared" si="3"/>
        <v>Laura Ossa</v>
      </c>
    </row>
    <row r="28" spans="3:16" ht="15.75" x14ac:dyDescent="0.25">
      <c r="C28" s="47" t="str">
        <f>'Polla - Grupos'!Z8</f>
        <v>Elizabeth Montealegre</v>
      </c>
      <c r="D28" s="48">
        <f>'Polla - Grupos'!Z435</f>
        <v>0</v>
      </c>
      <c r="E28" s="49">
        <f>COUNTIF($D$6:$D$64, "&gt;"&amp;D28) + COUNTIF($D$6:D28, D28)</f>
        <v>23</v>
      </c>
      <c r="F28" s="43"/>
      <c r="G28" s="50" t="str">
        <f t="shared" si="0"/>
        <v>Elizabeth Montealegre</v>
      </c>
      <c r="H28" s="51">
        <f t="shared" si="1"/>
        <v>0</v>
      </c>
      <c r="I28" s="27">
        <f t="array" ref="I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0))=5))</f>
        <v>0</v>
      </c>
      <c r="J28" s="27">
        <f t="array" ref="J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0))=3))</f>
        <v>0</v>
      </c>
      <c r="K28" s="27">
        <f t="array" ref="K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0))=2))</f>
        <v>0</v>
      </c>
      <c r="L28" s="27">
        <f t="array" ref="L2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MATCH(G28, 'Polla - Grupos'!$D$8:$BR$8, 0))=1))</f>
        <v>0</v>
      </c>
      <c r="M28" s="52">
        <f t="shared" si="2"/>
        <v>0</v>
      </c>
      <c r="N28" s="53"/>
      <c r="O28" s="52">
        <f>COUNTIF($M$6:$M$70, "&gt;"&amp;M28) + COUNTIF($M$6:M28, M28)</f>
        <v>23</v>
      </c>
      <c r="P28" s="54" t="str">
        <f t="shared" si="3"/>
        <v>Elizabeth Montealegre</v>
      </c>
    </row>
    <row r="29" spans="3:16" ht="15.75" x14ac:dyDescent="0.25">
      <c r="C29" s="47" t="str">
        <f>'Polla - Grupos'!AA8</f>
        <v>Liliana Montealegre</v>
      </c>
      <c r="D29" s="48">
        <f>'Polla - Grupos'!AA435</f>
        <v>0</v>
      </c>
      <c r="E29" s="49">
        <f>COUNTIF($D$6:$D$64, "&gt;"&amp;D29) + COUNTIF($D$6:D29, D29)</f>
        <v>24</v>
      </c>
      <c r="F29" s="43"/>
      <c r="G29" s="50" t="str">
        <f t="shared" si="0"/>
        <v>Liliana Montealegre</v>
      </c>
      <c r="H29" s="51">
        <f t="shared" si="1"/>
        <v>0</v>
      </c>
      <c r="I29" s="27">
        <f t="array" ref="I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0))=5))</f>
        <v>0</v>
      </c>
      <c r="J29" s="27">
        <f t="array" ref="J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0))=3))</f>
        <v>0</v>
      </c>
      <c r="K29" s="27">
        <f t="array" ref="K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0))=2))</f>
        <v>0</v>
      </c>
      <c r="L29" s="27">
        <f t="array" ref="L2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MATCH(G29, 'Polla - Grupos'!$D$8:$BR$8, 0))=1))</f>
        <v>0</v>
      </c>
      <c r="M29" s="52">
        <f t="shared" si="2"/>
        <v>0</v>
      </c>
      <c r="N29" s="53"/>
      <c r="O29" s="52">
        <f>COUNTIF($M$6:$M$70, "&gt;"&amp;M29) + COUNTIF($M$6:M29, M29)</f>
        <v>24</v>
      </c>
      <c r="P29" s="54" t="str">
        <f t="shared" si="3"/>
        <v>Liliana Montealegre</v>
      </c>
    </row>
    <row r="30" spans="3:16" ht="15.75" x14ac:dyDescent="0.25">
      <c r="C30" s="47" t="str">
        <f>'Polla - Grupos'!AB8</f>
        <v>Javier Andres Gomez</v>
      </c>
      <c r="D30" s="48">
        <f>'Polla - Grupos'!AB435</f>
        <v>0</v>
      </c>
      <c r="E30" s="49">
        <f>COUNTIF($D$6:$D$64, "&gt;"&amp;D30) + COUNTIF($D$6:D30, D30)</f>
        <v>25</v>
      </c>
      <c r="F30" s="43"/>
      <c r="G30" s="50" t="str">
        <f t="shared" si="0"/>
        <v>Javier Andres Gomez</v>
      </c>
      <c r="H30" s="51">
        <f t="shared" si="1"/>
        <v>0</v>
      </c>
      <c r="I30" s="27">
        <f t="array" ref="I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0))=5))</f>
        <v>0</v>
      </c>
      <c r="J30" s="27">
        <f t="array" ref="J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0))=3))</f>
        <v>0</v>
      </c>
      <c r="K30" s="27">
        <f t="array" ref="K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0))=2))</f>
        <v>0</v>
      </c>
      <c r="L30" s="27">
        <f t="array" ref="L3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MATCH(G30, 'Polla - Grupos'!$D$8:$BR$8, 0))=1))</f>
        <v>0</v>
      </c>
      <c r="M30" s="52">
        <f t="shared" si="2"/>
        <v>0</v>
      </c>
      <c r="N30" s="53"/>
      <c r="O30" s="52">
        <f>COUNTIF($M$6:$M$70, "&gt;"&amp;M30) + COUNTIF($M$6:M30, M30)</f>
        <v>25</v>
      </c>
      <c r="P30" s="54" t="str">
        <f t="shared" si="3"/>
        <v>Javier Andres Gomez</v>
      </c>
    </row>
    <row r="31" spans="3:16" ht="15.75" x14ac:dyDescent="0.25">
      <c r="C31" s="47" t="str">
        <f>'Polla - Grupos'!AC8</f>
        <v>Diana Carolina Marin</v>
      </c>
      <c r="D31" s="48">
        <f>'Polla - Grupos'!AC435</f>
        <v>0</v>
      </c>
      <c r="E31" s="49">
        <f>COUNTIF($D$6:$D$64, "&gt;"&amp;D31) + COUNTIF($D$6:D31, D31)</f>
        <v>26</v>
      </c>
      <c r="F31" s="43"/>
      <c r="G31" s="50" t="str">
        <f t="shared" si="0"/>
        <v>Diana Carolina Marin</v>
      </c>
      <c r="H31" s="51">
        <f t="shared" si="1"/>
        <v>0</v>
      </c>
      <c r="I31" s="27">
        <f t="array" ref="I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0))=5))</f>
        <v>0</v>
      </c>
      <c r="J31" s="27">
        <f t="array" ref="J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0))=3))</f>
        <v>0</v>
      </c>
      <c r="K31" s="27">
        <f t="array" ref="K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0))=2))</f>
        <v>0</v>
      </c>
      <c r="L31" s="27">
        <f t="array" ref="L3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MATCH(G31, 'Polla - Grupos'!$D$8:$BR$8, 0))=1))</f>
        <v>0</v>
      </c>
      <c r="M31" s="52">
        <f t="shared" si="2"/>
        <v>0</v>
      </c>
      <c r="N31" s="53"/>
      <c r="O31" s="52">
        <f>COUNTIF($M$6:$M$70, "&gt;"&amp;M31) + COUNTIF($M$6:M31, M31)</f>
        <v>26</v>
      </c>
      <c r="P31" s="54" t="str">
        <f t="shared" si="3"/>
        <v>Diana Carolina Marin</v>
      </c>
    </row>
    <row r="32" spans="3:16" ht="15.75" x14ac:dyDescent="0.25">
      <c r="C32" s="47" t="str">
        <f>'Polla - Grupos'!AD8</f>
        <v>Diego Fernando Saavedra</v>
      </c>
      <c r="D32" s="48">
        <f>'Polla - Grupos'!AD435</f>
        <v>0</v>
      </c>
      <c r="E32" s="49">
        <f>COUNTIF($D$6:$D$64, "&gt;"&amp;D32) + COUNTIF($D$6:D32, D32)</f>
        <v>27</v>
      </c>
      <c r="F32" s="43"/>
      <c r="G32" s="50" t="str">
        <f t="shared" si="0"/>
        <v>Diego Fernando Saavedra</v>
      </c>
      <c r="H32" s="51">
        <f t="shared" si="1"/>
        <v>0</v>
      </c>
      <c r="I32" s="27">
        <f t="array" ref="I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0))=5))</f>
        <v>0</v>
      </c>
      <c r="J32" s="27">
        <f t="array" ref="J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0))=3))</f>
        <v>0</v>
      </c>
      <c r="K32" s="27">
        <f t="array" ref="K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0))=2))</f>
        <v>0</v>
      </c>
      <c r="L32" s="27">
        <f t="array" ref="L3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MATCH(G32, 'Polla - Grupos'!$D$8:$BR$8, 0))=1))</f>
        <v>0</v>
      </c>
      <c r="M32" s="52">
        <f t="shared" si="2"/>
        <v>0</v>
      </c>
      <c r="N32" s="53"/>
      <c r="O32" s="52">
        <f>COUNTIF($M$6:$M$70, "&gt;"&amp;M32) + COUNTIF($M$6:M32, M32)</f>
        <v>27</v>
      </c>
      <c r="P32" s="54" t="str">
        <f t="shared" si="3"/>
        <v>Diego Fernando Saavedra</v>
      </c>
    </row>
    <row r="33" spans="3:16" ht="15.75" x14ac:dyDescent="0.25">
      <c r="C33" s="47" t="str">
        <f>'Polla - Grupos'!AE8</f>
        <v>Oscar Mayor</v>
      </c>
      <c r="D33" s="48">
        <f>'Polla - Grupos'!AE435</f>
        <v>0</v>
      </c>
      <c r="E33" s="49">
        <f>COUNTIF($D$6:$D$64, "&gt;"&amp;D33) + COUNTIF($D$6:D33, D33)</f>
        <v>28</v>
      </c>
      <c r="F33" s="43"/>
      <c r="G33" s="50" t="str">
        <f t="shared" si="0"/>
        <v>Oscar Mayor</v>
      </c>
      <c r="H33" s="51">
        <f t="shared" si="1"/>
        <v>0</v>
      </c>
      <c r="I33" s="27">
        <f t="array" ref="I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0))=5))</f>
        <v>0</v>
      </c>
      <c r="J33" s="27">
        <f t="array" ref="J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0))=3))</f>
        <v>0</v>
      </c>
      <c r="K33" s="27">
        <f t="array" ref="K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0))=2))</f>
        <v>0</v>
      </c>
      <c r="L33" s="27">
        <f t="array" ref="L3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MATCH(G33, 'Polla - Grupos'!$D$8:$BR$8, 0))=1))</f>
        <v>0</v>
      </c>
      <c r="M33" s="52">
        <f t="shared" si="2"/>
        <v>0</v>
      </c>
      <c r="N33" s="53"/>
      <c r="O33" s="52">
        <f>COUNTIF($M$6:$M$70, "&gt;"&amp;M33) + COUNTIF($M$6:M33, M33)</f>
        <v>28</v>
      </c>
      <c r="P33" s="54" t="str">
        <f t="shared" si="3"/>
        <v>Oscar Mayor</v>
      </c>
    </row>
    <row r="34" spans="3:16" ht="15.75" x14ac:dyDescent="0.25">
      <c r="C34" s="47" t="str">
        <f>'Polla - Grupos'!AF8</f>
        <v>Ingrid Toro</v>
      </c>
      <c r="D34" s="48">
        <f>'Polla - Grupos'!AF435</f>
        <v>0</v>
      </c>
      <c r="E34" s="49">
        <f>COUNTIF($D$6:$D$64, "&gt;"&amp;D34) + COUNTIF($D$6:D34, D34)</f>
        <v>29</v>
      </c>
      <c r="F34" s="43"/>
      <c r="G34" s="50" t="str">
        <f t="shared" si="0"/>
        <v>Ingrid Toro</v>
      </c>
      <c r="H34" s="51">
        <f t="shared" si="1"/>
        <v>0</v>
      </c>
      <c r="I34" s="27">
        <f t="array" ref="I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0))=5))</f>
        <v>0</v>
      </c>
      <c r="J34" s="27">
        <f t="array" ref="J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0))=3))</f>
        <v>0</v>
      </c>
      <c r="K34" s="27">
        <f t="array" ref="K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0))=2))</f>
        <v>0</v>
      </c>
      <c r="L34" s="27">
        <f t="array" ref="L3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MATCH(G34, 'Polla - Grupos'!$D$8:$BR$8, 0))=1))</f>
        <v>0</v>
      </c>
      <c r="M34" s="52">
        <f t="shared" si="2"/>
        <v>0</v>
      </c>
      <c r="N34" s="53"/>
      <c r="O34" s="52">
        <f>COUNTIF($M$6:$M$70, "&gt;"&amp;M34) + COUNTIF($M$6:M34, M34)</f>
        <v>29</v>
      </c>
      <c r="P34" s="54" t="str">
        <f t="shared" si="3"/>
        <v>Ingrid Toro</v>
      </c>
    </row>
    <row r="35" spans="3:16" ht="15.75" x14ac:dyDescent="0.25">
      <c r="C35" s="47" t="str">
        <f>'Polla - Grupos'!AG8</f>
        <v>Ana Marcela Castro</v>
      </c>
      <c r="D35" s="48">
        <f>'Polla - Grupos'!AG435</f>
        <v>0</v>
      </c>
      <c r="E35" s="49">
        <f>COUNTIF($D$6:$D$64, "&gt;"&amp;D35) + COUNTIF($D$6:D35, D35)</f>
        <v>30</v>
      </c>
      <c r="F35" s="43"/>
      <c r="G35" s="50" t="str">
        <f t="shared" si="0"/>
        <v>Ana Marcela Castro</v>
      </c>
      <c r="H35" s="51">
        <f t="shared" si="1"/>
        <v>0</v>
      </c>
      <c r="I35" s="27">
        <f t="array" ref="I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0))=5))</f>
        <v>0</v>
      </c>
      <c r="J35" s="27">
        <f t="array" ref="J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0))=3))</f>
        <v>0</v>
      </c>
      <c r="K35" s="27">
        <f t="array" ref="K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0))=2))</f>
        <v>0</v>
      </c>
      <c r="L35" s="27">
        <f t="array" ref="L3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MATCH(G35, 'Polla - Grupos'!$D$8:$BR$8, 0))=1))</f>
        <v>0</v>
      </c>
      <c r="M35" s="52">
        <f t="shared" si="2"/>
        <v>0</v>
      </c>
      <c r="N35" s="53"/>
      <c r="O35" s="52">
        <f>COUNTIF($M$6:$M$70, "&gt;"&amp;M35) + COUNTIF($M$6:M35, M35)</f>
        <v>30</v>
      </c>
      <c r="P35" s="54" t="str">
        <f t="shared" si="3"/>
        <v>Ana Marcela Castro</v>
      </c>
    </row>
    <row r="36" spans="3:16" ht="15.75" x14ac:dyDescent="0.25">
      <c r="C36" s="47" t="str">
        <f>'Polla - Grupos'!AH8</f>
        <v>Ricardo Gutierrez</v>
      </c>
      <c r="D36" s="48">
        <f>'Polla - Grupos'!AH435</f>
        <v>0</v>
      </c>
      <c r="E36" s="49">
        <f>COUNTIF($D$6:$D$64, "&gt;"&amp;D36) + COUNTIF($D$6:D36, D36)</f>
        <v>31</v>
      </c>
      <c r="F36" s="43"/>
      <c r="G36" s="50" t="str">
        <f t="shared" si="0"/>
        <v>Ricardo Gutierrez</v>
      </c>
      <c r="H36" s="51">
        <f t="shared" si="1"/>
        <v>0</v>
      </c>
      <c r="I36" s="27">
        <f t="array" ref="I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0))=5))</f>
        <v>0</v>
      </c>
      <c r="J36" s="27">
        <f t="array" ref="J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0))=3))</f>
        <v>0</v>
      </c>
      <c r="K36" s="27">
        <f t="array" ref="K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0))=2))</f>
        <v>0</v>
      </c>
      <c r="L36" s="27">
        <f t="array" ref="L3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MATCH(G36, 'Polla - Grupos'!$D$8:$BR$8, 0))=1))</f>
        <v>0</v>
      </c>
      <c r="M36" s="52">
        <f t="shared" si="2"/>
        <v>0</v>
      </c>
      <c r="N36" s="53"/>
      <c r="O36" s="52">
        <f>COUNTIF($M$6:$M$70, "&gt;"&amp;M36) + COUNTIF($M$6:M36, M36)</f>
        <v>31</v>
      </c>
      <c r="P36" s="54" t="str">
        <f t="shared" si="3"/>
        <v>Ricardo Gutierrez</v>
      </c>
    </row>
    <row r="37" spans="3:16" ht="15.75" x14ac:dyDescent="0.25">
      <c r="C37" s="47" t="str">
        <f>'Polla - Grupos'!AI8</f>
        <v>Natalia Navarro</v>
      </c>
      <c r="D37" s="48">
        <f>'Polla - Grupos'!AI435</f>
        <v>0</v>
      </c>
      <c r="E37" s="49">
        <f>COUNTIF($D$6:$D$64, "&gt;"&amp;D37) + COUNTIF($D$6:D37, D37)</f>
        <v>32</v>
      </c>
      <c r="F37" s="43"/>
      <c r="G37" s="50" t="str">
        <f t="shared" si="0"/>
        <v>Natalia Navarro</v>
      </c>
      <c r="H37" s="51">
        <f t="shared" si="1"/>
        <v>0</v>
      </c>
      <c r="I37" s="27">
        <f t="array" ref="I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0))=5))</f>
        <v>0</v>
      </c>
      <c r="J37" s="27">
        <f t="array" ref="J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0))=3))</f>
        <v>0</v>
      </c>
      <c r="K37" s="27">
        <f t="array" ref="K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0))=2))</f>
        <v>0</v>
      </c>
      <c r="L37" s="27">
        <f t="array" ref="L3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MATCH(G37, 'Polla - Grupos'!$D$8:$BR$8, 0))=1))</f>
        <v>0</v>
      </c>
      <c r="M37" s="52">
        <f t="shared" si="2"/>
        <v>0</v>
      </c>
      <c r="N37" s="53"/>
      <c r="O37" s="52">
        <f>COUNTIF($M$6:$M$70, "&gt;"&amp;M37) + COUNTIF($M$6:M37, M37)</f>
        <v>32</v>
      </c>
      <c r="P37" s="54" t="str">
        <f t="shared" si="3"/>
        <v>Natalia Navarro</v>
      </c>
    </row>
    <row r="38" spans="3:16" ht="15.75" x14ac:dyDescent="0.25">
      <c r="C38" s="47" t="str">
        <f>'Polla - Grupos'!AJ8</f>
        <v>Diana Perez</v>
      </c>
      <c r="D38" s="48">
        <f>'Polla - Grupos'!AJ435</f>
        <v>0</v>
      </c>
      <c r="E38" s="49">
        <f>COUNTIF($D$6:$D$64, "&gt;"&amp;D38) + COUNTIF($D$6:D38, D38)</f>
        <v>33</v>
      </c>
      <c r="F38" s="43"/>
      <c r="G38" s="50" t="str">
        <f t="shared" si="0"/>
        <v>Diana Perez</v>
      </c>
      <c r="H38" s="51">
        <f t="shared" si="1"/>
        <v>0</v>
      </c>
      <c r="I38" s="27">
        <f t="array" ref="I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0))=5))</f>
        <v>0</v>
      </c>
      <c r="J38" s="27">
        <f t="array" ref="J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0))=3))</f>
        <v>0</v>
      </c>
      <c r="K38" s="27">
        <f t="array" ref="K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0))=2))</f>
        <v>0</v>
      </c>
      <c r="L38" s="27">
        <f t="array" ref="L3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MATCH(G38, 'Polla - Grupos'!$D$8:$BR$8, 0))=1))</f>
        <v>0</v>
      </c>
      <c r="M38" s="52">
        <f t="shared" si="2"/>
        <v>0</v>
      </c>
      <c r="N38" s="53"/>
      <c r="O38" s="52">
        <f>COUNTIF($M$6:$M$70, "&gt;"&amp;M38) + COUNTIF($M$6:M38, M38)</f>
        <v>33</v>
      </c>
      <c r="P38" s="54" t="str">
        <f t="shared" si="3"/>
        <v>Diana Perez</v>
      </c>
    </row>
    <row r="39" spans="3:16" ht="15.75" x14ac:dyDescent="0.25">
      <c r="C39" s="47" t="str">
        <f>'Polla - Grupos'!AK8</f>
        <v>Sergio Diaz</v>
      </c>
      <c r="D39" s="48">
        <f>'Polla - Grupos'!AK435</f>
        <v>0</v>
      </c>
      <c r="E39" s="49">
        <f>COUNTIF($D$6:$D$64, "&gt;"&amp;D39) + COUNTIF($D$6:D39, D39)</f>
        <v>34</v>
      </c>
      <c r="F39" s="43"/>
      <c r="G39" s="50" t="str">
        <f t="shared" si="0"/>
        <v>Sergio Diaz</v>
      </c>
      <c r="H39" s="51">
        <f t="shared" si="1"/>
        <v>0</v>
      </c>
      <c r="I39" s="27">
        <f t="array" ref="I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0))=5))</f>
        <v>0</v>
      </c>
      <c r="J39" s="27">
        <f t="array" ref="J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0))=3))</f>
        <v>0</v>
      </c>
      <c r="K39" s="27">
        <f t="array" ref="K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0))=2))</f>
        <v>0</v>
      </c>
      <c r="L39" s="27">
        <f t="array" ref="L3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MATCH(G39, 'Polla - Grupos'!$D$8:$BR$8, 0))=1))</f>
        <v>0</v>
      </c>
      <c r="M39" s="52">
        <f t="shared" si="2"/>
        <v>0</v>
      </c>
      <c r="N39" s="53"/>
      <c r="O39" s="52">
        <f>COUNTIF($M$6:$M$70, "&gt;"&amp;M39) + COUNTIF($M$6:M39, M39)</f>
        <v>34</v>
      </c>
      <c r="P39" s="54" t="str">
        <f t="shared" si="3"/>
        <v>Sergio Diaz</v>
      </c>
    </row>
    <row r="40" spans="3:16" ht="15.75" x14ac:dyDescent="0.25">
      <c r="C40" s="47" t="str">
        <f>'Polla - Grupos'!AL8</f>
        <v>William Oviedo</v>
      </c>
      <c r="D40" s="48">
        <f>'Polla - Grupos'!AL435</f>
        <v>0</v>
      </c>
      <c r="E40" s="49">
        <f>COUNTIF($D$6:$D$64, "&gt;"&amp;D40) + COUNTIF($D$6:D40, D40)</f>
        <v>35</v>
      </c>
      <c r="F40" s="43"/>
      <c r="G40" s="50" t="str">
        <f t="shared" si="0"/>
        <v>William Oviedo</v>
      </c>
      <c r="H40" s="51">
        <f t="shared" si="1"/>
        <v>0</v>
      </c>
      <c r="I40" s="27">
        <f t="array" ref="I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0))=5))</f>
        <v>0</v>
      </c>
      <c r="J40" s="27">
        <f t="array" ref="J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0))=3))</f>
        <v>0</v>
      </c>
      <c r="K40" s="27">
        <f t="array" ref="K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0))=2))</f>
        <v>0</v>
      </c>
      <c r="L40" s="27">
        <f t="array" ref="L4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MATCH(G40, 'Polla - Grupos'!$D$8:$BR$8, 0))=1))</f>
        <v>0</v>
      </c>
      <c r="M40" s="52">
        <f t="shared" si="2"/>
        <v>0</v>
      </c>
      <c r="N40" s="53"/>
      <c r="O40" s="52">
        <f>COUNTIF($M$6:$M$70, "&gt;"&amp;M40) + COUNTIF($M$6:M40, M40)</f>
        <v>35</v>
      </c>
      <c r="P40" s="54" t="str">
        <f t="shared" si="3"/>
        <v>William Oviedo</v>
      </c>
    </row>
    <row r="41" spans="3:16" ht="15.75" x14ac:dyDescent="0.25">
      <c r="C41" s="47" t="str">
        <f>'Polla - Grupos'!AM8</f>
        <v>Armando Orjuela</v>
      </c>
      <c r="D41" s="48">
        <f>'Polla - Grupos'!AM435</f>
        <v>0</v>
      </c>
      <c r="E41" s="49">
        <f>COUNTIF($D$6:$D$64, "&gt;"&amp;D41) + COUNTIF($D$6:D41, D41)</f>
        <v>36</v>
      </c>
      <c r="F41" s="43"/>
      <c r="G41" s="50" t="str">
        <f t="shared" si="0"/>
        <v>Armando Orjuela</v>
      </c>
      <c r="H41" s="51">
        <f t="shared" si="1"/>
        <v>0</v>
      </c>
      <c r="I41" s="27">
        <f t="array" ref="I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0))=5))</f>
        <v>0</v>
      </c>
      <c r="J41" s="27">
        <f t="array" ref="J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0))=3))</f>
        <v>0</v>
      </c>
      <c r="K41" s="27">
        <f t="array" ref="K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0))=2))</f>
        <v>0</v>
      </c>
      <c r="L41" s="27">
        <f t="array" ref="L4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MATCH(G41, 'Polla - Grupos'!$D$8:$BR$8, 0))=1))</f>
        <v>0</v>
      </c>
      <c r="M41" s="52">
        <f t="shared" si="2"/>
        <v>0</v>
      </c>
      <c r="N41" s="53"/>
      <c r="O41" s="52">
        <f>COUNTIF($M$6:$M$70, "&gt;"&amp;M41) + COUNTIF($M$6:M41, M41)</f>
        <v>36</v>
      </c>
      <c r="P41" s="54" t="str">
        <f t="shared" si="3"/>
        <v>Armando Orjuela</v>
      </c>
    </row>
    <row r="42" spans="3:16" ht="15.75" x14ac:dyDescent="0.25">
      <c r="C42" s="47" t="str">
        <f>'Polla - Grupos'!AN8</f>
        <v xml:space="preserve">Helen Muñoz </v>
      </c>
      <c r="D42" s="48">
        <f>'Polla - Grupos'!AN435</f>
        <v>0</v>
      </c>
      <c r="E42" s="49">
        <f>COUNTIF($D$6:$D$64, "&gt;"&amp;D42) + COUNTIF($D$6:D42, D42)</f>
        <v>37</v>
      </c>
      <c r="F42" s="43"/>
      <c r="G42" s="50" t="str">
        <f t="shared" si="0"/>
        <v xml:space="preserve">Helen Muñoz </v>
      </c>
      <c r="H42" s="51">
        <f t="shared" si="1"/>
        <v>0</v>
      </c>
      <c r="I42" s="27">
        <f t="array" ref="I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0))=5))</f>
        <v>0</v>
      </c>
      <c r="J42" s="27">
        <f t="array" ref="J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0))=3))</f>
        <v>0</v>
      </c>
      <c r="K42" s="27">
        <f t="array" ref="K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0))=2))</f>
        <v>0</v>
      </c>
      <c r="L42" s="27">
        <f t="array" ref="L4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MATCH(G42, 'Polla - Grupos'!$D$8:$BR$8, 0))=1))</f>
        <v>0</v>
      </c>
      <c r="M42" s="52">
        <f t="shared" si="2"/>
        <v>0</v>
      </c>
      <c r="N42" s="53"/>
      <c r="O42" s="52">
        <f>COUNTIF($M$6:$M$70, "&gt;"&amp;M42) + COUNTIF($M$6:M42, M42)</f>
        <v>37</v>
      </c>
      <c r="P42" s="54" t="str">
        <f t="shared" si="3"/>
        <v xml:space="preserve">Helen Muñoz </v>
      </c>
    </row>
    <row r="43" spans="3:16" ht="15.75" x14ac:dyDescent="0.25">
      <c r="C43" s="47" t="str">
        <f>'Polla - Grupos'!AO8</f>
        <v>Julieth Cruz - Luiz Diaz</v>
      </c>
      <c r="D43" s="48">
        <f>'Polla - Grupos'!AO435</f>
        <v>0</v>
      </c>
      <c r="E43" s="49">
        <f>COUNTIF($D$6:$D$64, "&gt;"&amp;D43) + COUNTIF($D$6:D43, D43)</f>
        <v>38</v>
      </c>
      <c r="F43" s="43"/>
      <c r="G43" s="50" t="str">
        <f t="shared" si="0"/>
        <v>Julieth Cruz - Luiz Diaz</v>
      </c>
      <c r="H43" s="51">
        <f t="shared" si="1"/>
        <v>0</v>
      </c>
      <c r="I43" s="27">
        <f t="array" ref="I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0))=5))</f>
        <v>0</v>
      </c>
      <c r="J43" s="27">
        <f t="array" ref="J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0))=3))</f>
        <v>0</v>
      </c>
      <c r="K43" s="27">
        <f t="array" ref="K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0))=2))</f>
        <v>0</v>
      </c>
      <c r="L43" s="27">
        <f t="array" ref="L4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MATCH(G43, 'Polla - Grupos'!$D$8:$BR$8, 0))=1))</f>
        <v>0</v>
      </c>
      <c r="M43" s="52">
        <f t="shared" si="2"/>
        <v>0</v>
      </c>
      <c r="N43" s="53"/>
      <c r="O43" s="52">
        <f>COUNTIF($M$6:$M$70, "&gt;"&amp;M43) + COUNTIF($M$6:M43, M43)</f>
        <v>38</v>
      </c>
      <c r="P43" s="54" t="str">
        <f t="shared" si="3"/>
        <v>Julieth Cruz - Luiz Diaz</v>
      </c>
    </row>
    <row r="44" spans="3:16" ht="15.75" x14ac:dyDescent="0.25">
      <c r="C44" s="47" t="str">
        <f>'Polla - Grupos'!AP8</f>
        <v>Jose Luis Montoya</v>
      </c>
      <c r="D44" s="48">
        <f>'Polla - Grupos'!AP435</f>
        <v>0</v>
      </c>
      <c r="E44" s="49">
        <f>COUNTIF($D$6:$D$64, "&gt;"&amp;D44) + COUNTIF($D$6:D44, D44)</f>
        <v>39</v>
      </c>
      <c r="F44" s="43"/>
      <c r="G44" s="50" t="str">
        <f t="shared" si="0"/>
        <v>Jose Luis Montoya</v>
      </c>
      <c r="H44" s="51">
        <f t="shared" si="1"/>
        <v>0</v>
      </c>
      <c r="I44" s="27">
        <f t="array" ref="I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0))=5))</f>
        <v>0</v>
      </c>
      <c r="J44" s="27">
        <f t="array" ref="J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0))=3))</f>
        <v>0</v>
      </c>
      <c r="K44" s="27">
        <f t="array" ref="K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0))=2))</f>
        <v>0</v>
      </c>
      <c r="L44" s="27">
        <f t="array" ref="L4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MATCH(G44, 'Polla - Grupos'!$D$8:$BR$8, 0))=1))</f>
        <v>0</v>
      </c>
      <c r="M44" s="52">
        <f t="shared" si="2"/>
        <v>0</v>
      </c>
      <c r="N44" s="53"/>
      <c r="O44" s="52">
        <f>COUNTIF($M$6:$M$70, "&gt;"&amp;M44) + COUNTIF($M$6:M44, M44)</f>
        <v>39</v>
      </c>
      <c r="P44" s="54" t="str">
        <f t="shared" si="3"/>
        <v>Jose Luis Montoya</v>
      </c>
    </row>
    <row r="45" spans="3:16" ht="15.75" x14ac:dyDescent="0.25">
      <c r="C45" s="47" t="str">
        <f>'Polla - Grupos'!AQ8</f>
        <v>Julian Useche</v>
      </c>
      <c r="D45" s="48">
        <f>'Polla - Grupos'!AQ435</f>
        <v>0</v>
      </c>
      <c r="E45" s="49">
        <f>COUNTIF($D$6:$D$64, "&gt;"&amp;D45) + COUNTIF($D$6:D45, D45)</f>
        <v>40</v>
      </c>
      <c r="F45" s="43"/>
      <c r="G45" s="50" t="str">
        <f t="shared" si="0"/>
        <v>Julian Useche</v>
      </c>
      <c r="H45" s="51">
        <f t="shared" si="1"/>
        <v>0</v>
      </c>
      <c r="I45" s="27">
        <f t="array" ref="I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0))=5))</f>
        <v>0</v>
      </c>
      <c r="J45" s="27">
        <f t="array" ref="J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0))=3))</f>
        <v>0</v>
      </c>
      <c r="K45" s="27">
        <f t="array" ref="K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0))=2))</f>
        <v>0</v>
      </c>
      <c r="L45" s="27">
        <f t="array" ref="L4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MATCH(G45, 'Polla - Grupos'!$D$8:$BR$8, 0))=1))</f>
        <v>0</v>
      </c>
      <c r="M45" s="52">
        <f t="shared" si="2"/>
        <v>0</v>
      </c>
      <c r="N45" s="53"/>
      <c r="O45" s="52">
        <f>COUNTIF($M$6:$M$70, "&gt;"&amp;M45) + COUNTIF($M$6:M45, M45)</f>
        <v>40</v>
      </c>
      <c r="P45" s="54" t="str">
        <f t="shared" si="3"/>
        <v>Julian Useche</v>
      </c>
    </row>
    <row r="46" spans="3:16" ht="15.75" x14ac:dyDescent="0.25">
      <c r="C46" s="47" t="str">
        <f>'Polla - Grupos'!AR8</f>
        <v>Sebastian Posada</v>
      </c>
      <c r="D46" s="48">
        <f>'Polla - Grupos'!AR435</f>
        <v>0</v>
      </c>
      <c r="E46" s="49">
        <f>COUNTIF($D$6:$D$64, "&gt;"&amp;D46) + COUNTIF($D$6:D46, D46)</f>
        <v>41</v>
      </c>
      <c r="F46" s="43"/>
      <c r="G46" s="50" t="str">
        <f t="shared" si="0"/>
        <v>Sebastian Posada</v>
      </c>
      <c r="H46" s="51">
        <f t="shared" si="1"/>
        <v>0</v>
      </c>
      <c r="I46" s="27">
        <f t="array" ref="I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0))=5))</f>
        <v>0</v>
      </c>
      <c r="J46" s="27">
        <f t="array" ref="J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0))=3))</f>
        <v>0</v>
      </c>
      <c r="K46" s="27">
        <f t="array" ref="K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0))=2))</f>
        <v>0</v>
      </c>
      <c r="L46" s="27">
        <f t="array" ref="L4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MATCH(G46, 'Polla - Grupos'!$D$8:$BR$8, 0))=1))</f>
        <v>0</v>
      </c>
      <c r="M46" s="52">
        <f t="shared" si="2"/>
        <v>0</v>
      </c>
      <c r="N46" s="53"/>
      <c r="O46" s="52">
        <f>COUNTIF($M$6:$M$70, "&gt;"&amp;M46) + COUNTIF($M$6:M46, M46)</f>
        <v>41</v>
      </c>
      <c r="P46" s="54" t="str">
        <f t="shared" si="3"/>
        <v>Sebastian Posada</v>
      </c>
    </row>
    <row r="47" spans="3:16" ht="15.75" x14ac:dyDescent="0.25">
      <c r="C47" s="47" t="str">
        <f>'Polla - Grupos'!AS8</f>
        <v>Juan Cifuentes</v>
      </c>
      <c r="D47" s="48">
        <f>'Polla - Grupos'!AS435</f>
        <v>0</v>
      </c>
      <c r="E47" s="49">
        <f>COUNTIF($D$6:$D$64, "&gt;"&amp;D47) + COUNTIF($D$6:D47, D47)</f>
        <v>42</v>
      </c>
      <c r="F47" s="43"/>
      <c r="G47" s="50" t="str">
        <f t="shared" si="0"/>
        <v>Juan Cifuentes</v>
      </c>
      <c r="H47" s="51">
        <f t="shared" si="1"/>
        <v>0</v>
      </c>
      <c r="I47" s="27">
        <f t="array" ref="I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0))=5))</f>
        <v>0</v>
      </c>
      <c r="J47" s="27">
        <f t="array" ref="J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0))=3))</f>
        <v>0</v>
      </c>
      <c r="K47" s="27">
        <f t="array" ref="K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0))=2))</f>
        <v>0</v>
      </c>
      <c r="L47" s="27">
        <f t="array" ref="L4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MATCH(G47, 'Polla - Grupos'!$D$8:$BR$8, 0))=1))</f>
        <v>0</v>
      </c>
      <c r="M47" s="52">
        <f t="shared" si="2"/>
        <v>0</v>
      </c>
      <c r="N47" s="53"/>
      <c r="O47" s="52">
        <f>COUNTIF($M$6:$M$70, "&gt;"&amp;M47) + COUNTIF($M$6:M47, M47)</f>
        <v>42</v>
      </c>
      <c r="P47" s="54" t="str">
        <f t="shared" si="3"/>
        <v>Juan Cifuentes</v>
      </c>
    </row>
    <row r="48" spans="3:16" ht="15.75" x14ac:dyDescent="0.25">
      <c r="C48" s="47" t="str">
        <f>'Polla - Grupos'!AT8</f>
        <v>Rodrigo Dominguez</v>
      </c>
      <c r="D48" s="48">
        <f>'Polla - Grupos'!AT435</f>
        <v>0</v>
      </c>
      <c r="E48" s="49">
        <f>COUNTIF($D$6:$D$64, "&gt;"&amp;D48) + COUNTIF($D$6:D48, D48)</f>
        <v>43</v>
      </c>
      <c r="F48" s="43"/>
      <c r="G48" s="50" t="str">
        <f t="shared" si="0"/>
        <v>Rodrigo Dominguez</v>
      </c>
      <c r="H48" s="51">
        <f t="shared" si="1"/>
        <v>0</v>
      </c>
      <c r="I48" s="27">
        <f t="array" ref="I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0))=5))</f>
        <v>0</v>
      </c>
      <c r="J48" s="27">
        <f t="array" ref="J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0))=3))</f>
        <v>0</v>
      </c>
      <c r="K48" s="27">
        <f t="array" ref="K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0))=2))</f>
        <v>0</v>
      </c>
      <c r="L48" s="27">
        <f t="array" ref="L4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MATCH(G48, 'Polla - Grupos'!$D$8:$BR$8, 0))=1))</f>
        <v>0</v>
      </c>
      <c r="M48" s="52">
        <f t="shared" si="2"/>
        <v>0</v>
      </c>
      <c r="N48" s="53"/>
      <c r="O48" s="52">
        <f>COUNTIF($M$6:$M$70, "&gt;"&amp;M48) + COUNTIF($M$6:M48, M48)</f>
        <v>43</v>
      </c>
      <c r="P48" s="54" t="str">
        <f t="shared" si="3"/>
        <v>Rodrigo Dominguez</v>
      </c>
    </row>
    <row r="49" spans="3:16" ht="15.75" x14ac:dyDescent="0.25">
      <c r="C49" s="47" t="str">
        <f>'Polla - Grupos'!AU8</f>
        <v xml:space="preserve">Carlos Calero </v>
      </c>
      <c r="D49" s="48">
        <f>'Polla - Grupos'!AU435</f>
        <v>0</v>
      </c>
      <c r="E49" s="49">
        <f>COUNTIF($D$6:$D$64, "&gt;"&amp;D49) + COUNTIF($D$6:D49, D49)</f>
        <v>44</v>
      </c>
      <c r="F49" s="43"/>
      <c r="G49" s="50" t="str">
        <f t="shared" si="0"/>
        <v xml:space="preserve">Carlos Calero </v>
      </c>
      <c r="H49" s="51">
        <f t="shared" si="1"/>
        <v>0</v>
      </c>
      <c r="I49" s="27">
        <f t="array" ref="I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0))=5))</f>
        <v>0</v>
      </c>
      <c r="J49" s="27">
        <f t="array" ref="J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0))=3))</f>
        <v>0</v>
      </c>
      <c r="K49" s="27">
        <f t="array" ref="K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0))=2))</f>
        <v>0</v>
      </c>
      <c r="L49" s="27">
        <f t="array" ref="L4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MATCH(G49, 'Polla - Grupos'!$D$8:$BR$8, 0))=1))</f>
        <v>0</v>
      </c>
      <c r="M49" s="52">
        <f t="shared" si="2"/>
        <v>0</v>
      </c>
      <c r="N49" s="53"/>
      <c r="O49" s="52">
        <f>COUNTIF($M$6:$M$70, "&gt;"&amp;M49) + COUNTIF($M$6:M49, M49)</f>
        <v>44</v>
      </c>
      <c r="P49" s="54" t="str">
        <f t="shared" si="3"/>
        <v xml:space="preserve">Carlos Calero </v>
      </c>
    </row>
    <row r="50" spans="3:16" ht="15.75" x14ac:dyDescent="0.25">
      <c r="C50" s="47" t="str">
        <f>'Polla - Grupos'!AV8</f>
        <v>Lewhis Spirth Montaño</v>
      </c>
      <c r="D50" s="48">
        <f>'Polla - Grupos'!AV435</f>
        <v>0</v>
      </c>
      <c r="E50" s="49">
        <f>COUNTIF($D$6:$D$64, "&gt;"&amp;D50) + COUNTIF($D$6:D50, D50)</f>
        <v>45</v>
      </c>
      <c r="F50" s="43"/>
      <c r="G50" s="50" t="str">
        <f t="shared" si="0"/>
        <v>Lewhis Spirth Montaño</v>
      </c>
      <c r="H50" s="51">
        <f t="shared" si="1"/>
        <v>0</v>
      </c>
      <c r="I50" s="27">
        <f t="array" ref="I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0))=5))</f>
        <v>0</v>
      </c>
      <c r="J50" s="27">
        <f t="array" ref="J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0))=3))</f>
        <v>0</v>
      </c>
      <c r="K50" s="27">
        <f t="array" ref="K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0))=2))</f>
        <v>0</v>
      </c>
      <c r="L50" s="27">
        <f t="array" ref="L5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MATCH(G50, 'Polla - Grupos'!$D$8:$BR$8, 0))=1))</f>
        <v>0</v>
      </c>
      <c r="M50" s="52">
        <f t="shared" si="2"/>
        <v>0</v>
      </c>
      <c r="N50" s="53"/>
      <c r="O50" s="52">
        <f>COUNTIF($M$6:$M$70, "&gt;"&amp;M50) + COUNTIF($M$6:M50, M50)</f>
        <v>45</v>
      </c>
      <c r="P50" s="54" t="str">
        <f t="shared" si="3"/>
        <v>Lewhis Spirth Montaño</v>
      </c>
    </row>
    <row r="51" spans="3:16" ht="15.75" x14ac:dyDescent="0.25">
      <c r="C51" s="47" t="str">
        <f>'Polla - Grupos'!AW8</f>
        <v>Sebastian Castro Luna</v>
      </c>
      <c r="D51" s="48">
        <f>'Polla - Grupos'!AW435</f>
        <v>0</v>
      </c>
      <c r="E51" s="49">
        <f>COUNTIF($D$6:$D$64, "&gt;"&amp;D51) + COUNTIF($D$6:D51, D51)</f>
        <v>46</v>
      </c>
      <c r="F51" s="43"/>
      <c r="G51" s="50" t="str">
        <f t="shared" si="0"/>
        <v>Sebastian Castro Luna</v>
      </c>
      <c r="H51" s="51">
        <f t="shared" si="1"/>
        <v>0</v>
      </c>
      <c r="I51" s="27">
        <f t="array" ref="I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0))=5))</f>
        <v>0</v>
      </c>
      <c r="J51" s="27">
        <f t="array" ref="J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0))=3))</f>
        <v>0</v>
      </c>
      <c r="K51" s="27">
        <f t="array" ref="K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0))=2))</f>
        <v>0</v>
      </c>
      <c r="L51" s="27">
        <f t="array" ref="L5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MATCH(G51, 'Polla - Grupos'!$D$8:$BR$8, 0))=1))</f>
        <v>0</v>
      </c>
      <c r="M51" s="52">
        <f t="shared" si="2"/>
        <v>0</v>
      </c>
      <c r="N51" s="53"/>
      <c r="O51" s="52">
        <f>COUNTIF($M$6:$M$70, "&gt;"&amp;M51) + COUNTIF($M$6:M51, M51)</f>
        <v>46</v>
      </c>
      <c r="P51" s="54" t="str">
        <f t="shared" si="3"/>
        <v>Sebastian Castro Luna</v>
      </c>
    </row>
    <row r="52" spans="3:16" ht="15.75" x14ac:dyDescent="0.25">
      <c r="C52" s="47" t="str">
        <f>'Polla - Grupos'!AX8</f>
        <v>Francia Orozco</v>
      </c>
      <c r="D52" s="48">
        <f>'Polla - Grupos'!AX435</f>
        <v>0</v>
      </c>
      <c r="E52" s="49">
        <f>COUNTIF($D$6:$D$64, "&gt;"&amp;D52) + COUNTIF($D$6:D52, D52)</f>
        <v>47</v>
      </c>
      <c r="F52" s="43"/>
      <c r="G52" s="50" t="str">
        <f t="shared" si="0"/>
        <v>Francia Orozco</v>
      </c>
      <c r="H52" s="51">
        <f t="shared" si="1"/>
        <v>0</v>
      </c>
      <c r="I52" s="27">
        <f t="array" ref="I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0))=5))</f>
        <v>0</v>
      </c>
      <c r="J52" s="27">
        <f t="array" ref="J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0))=3))</f>
        <v>0</v>
      </c>
      <c r="K52" s="27">
        <f t="array" ref="K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0))=2))</f>
        <v>0</v>
      </c>
      <c r="L52" s="27">
        <f t="array" ref="L5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MATCH(G52, 'Polla - Grupos'!$D$8:$BR$8, 0))=1))</f>
        <v>0</v>
      </c>
      <c r="M52" s="52">
        <f t="shared" si="2"/>
        <v>0</v>
      </c>
      <c r="N52" s="53"/>
      <c r="O52" s="52">
        <f>COUNTIF($M$6:$M$70, "&gt;"&amp;M52) + COUNTIF($M$6:M52, M52)</f>
        <v>47</v>
      </c>
      <c r="P52" s="54" t="str">
        <f t="shared" si="3"/>
        <v>Francia Orozco</v>
      </c>
    </row>
    <row r="53" spans="3:16" ht="15.75" x14ac:dyDescent="0.25">
      <c r="C53" s="47" t="str">
        <f>'Polla - Grupos'!AY8</f>
        <v>Fredy Rojas</v>
      </c>
      <c r="D53" s="48">
        <f>'Polla - Grupos'!AY435</f>
        <v>0</v>
      </c>
      <c r="E53" s="49">
        <f>COUNTIF($D$6:$D$64, "&gt;"&amp;D53) + COUNTIF($D$6:D53, D53)</f>
        <v>48</v>
      </c>
      <c r="F53" s="43"/>
      <c r="G53" s="50" t="str">
        <f t="shared" si="0"/>
        <v>Fredy Rojas</v>
      </c>
      <c r="H53" s="51">
        <f t="shared" si="1"/>
        <v>0</v>
      </c>
      <c r="I53" s="27">
        <f t="array" ref="I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0))=5))</f>
        <v>0</v>
      </c>
      <c r="J53" s="27">
        <f t="array" ref="J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0))=3))</f>
        <v>0</v>
      </c>
      <c r="K53" s="27">
        <f t="array" ref="K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0))=2))</f>
        <v>0</v>
      </c>
      <c r="L53" s="27">
        <f t="array" ref="L5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MATCH(G53, 'Polla - Grupos'!$D$8:$BR$8, 0))=1))</f>
        <v>0</v>
      </c>
      <c r="M53" s="52">
        <f t="shared" si="2"/>
        <v>0</v>
      </c>
      <c r="N53" s="53"/>
      <c r="O53" s="52">
        <f>COUNTIF($M$6:$M$70, "&gt;"&amp;M53) + COUNTIF($M$6:M53, M53)</f>
        <v>48</v>
      </c>
      <c r="P53" s="54" t="str">
        <f t="shared" si="3"/>
        <v>Fredy Rojas</v>
      </c>
    </row>
    <row r="54" spans="3:16" ht="15.75" x14ac:dyDescent="0.25">
      <c r="C54" s="47" t="str">
        <f>'Polla - Grupos'!AZ8</f>
        <v>John Quiñonez</v>
      </c>
      <c r="D54" s="48">
        <f>'Polla - Grupos'!AZ435</f>
        <v>0</v>
      </c>
      <c r="E54" s="49">
        <f>COUNTIF($D$6:$D$64, "&gt;"&amp;D54) + COUNTIF($D$6:D54, D54)</f>
        <v>49</v>
      </c>
      <c r="F54" s="43"/>
      <c r="G54" s="50" t="str">
        <f t="shared" si="0"/>
        <v>John Quiñonez</v>
      </c>
      <c r="H54" s="51">
        <f t="shared" si="1"/>
        <v>0</v>
      </c>
      <c r="I54" s="27">
        <f t="array" ref="I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0))=5))</f>
        <v>0</v>
      </c>
      <c r="J54" s="27">
        <f t="array" ref="J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0))=3))</f>
        <v>0</v>
      </c>
      <c r="K54" s="27">
        <f t="array" ref="K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0))=2))</f>
        <v>0</v>
      </c>
      <c r="L54" s="27">
        <f t="array" ref="L5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MATCH(G54, 'Polla - Grupos'!$D$8:$BR$8, 0))=1))</f>
        <v>0</v>
      </c>
      <c r="M54" s="52">
        <f t="shared" si="2"/>
        <v>0</v>
      </c>
      <c r="N54" s="53"/>
      <c r="O54" s="52">
        <f>COUNTIF($M$6:$M$70, "&gt;"&amp;M54) + COUNTIF($M$6:M54, M54)</f>
        <v>49</v>
      </c>
      <c r="P54" s="54" t="str">
        <f t="shared" si="3"/>
        <v>John Quiñonez</v>
      </c>
    </row>
    <row r="55" spans="3:16" ht="15.75" x14ac:dyDescent="0.25">
      <c r="C55" s="47" t="str">
        <f>'Polla - Grupos'!BA8</f>
        <v>Yuli Guzman</v>
      </c>
      <c r="D55" s="48">
        <f>'Polla - Grupos'!BA435</f>
        <v>0</v>
      </c>
      <c r="E55" s="49">
        <f>COUNTIF($D$6:$D$64, "&gt;"&amp;D55) + COUNTIF($D$6:D55, D55)</f>
        <v>50</v>
      </c>
      <c r="F55" s="43"/>
      <c r="G55" s="50" t="str">
        <f t="shared" si="0"/>
        <v>Yuli Guzman</v>
      </c>
      <c r="H55" s="51">
        <f t="shared" si="1"/>
        <v>0</v>
      </c>
      <c r="I55" s="27">
        <f t="array" ref="I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0))=5))</f>
        <v>0</v>
      </c>
      <c r="J55" s="27">
        <f t="array" ref="J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0))=3))</f>
        <v>0</v>
      </c>
      <c r="K55" s="27">
        <f t="array" ref="K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0))=2))</f>
        <v>0</v>
      </c>
      <c r="L55" s="27">
        <f t="array" ref="L55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MATCH(G55, 'Polla - Grupos'!$D$8:$BR$8, 0))=1))</f>
        <v>0</v>
      </c>
      <c r="M55" s="52">
        <f t="shared" si="2"/>
        <v>0</v>
      </c>
      <c r="N55" s="53"/>
      <c r="O55" s="52">
        <f>COUNTIF($M$6:$M$70, "&gt;"&amp;M55) + COUNTIF($M$6:M55, M55)</f>
        <v>50</v>
      </c>
      <c r="P55" s="54" t="str">
        <f t="shared" si="3"/>
        <v>Yuli Guzman</v>
      </c>
    </row>
    <row r="56" spans="3:16" ht="15.75" x14ac:dyDescent="0.25">
      <c r="C56" s="47" t="str">
        <f>'Polla - Grupos'!BB8</f>
        <v>Luis Alfredo Plaza</v>
      </c>
      <c r="D56" s="48">
        <f>'Polla - Grupos'!BB435</f>
        <v>0</v>
      </c>
      <c r="E56" s="49">
        <f>COUNTIF($D$6:$D$64, "&gt;"&amp;D56) + COUNTIF($D$6:D56, D56)</f>
        <v>51</v>
      </c>
      <c r="F56" s="43"/>
      <c r="G56" s="50" t="str">
        <f t="shared" si="0"/>
        <v>Luis Alfredo Plaza</v>
      </c>
      <c r="H56" s="51">
        <f t="shared" si="1"/>
        <v>0</v>
      </c>
      <c r="I56" s="27">
        <f t="array" ref="I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0))=5))</f>
        <v>0</v>
      </c>
      <c r="J56" s="27">
        <f t="array" ref="J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0))=3))</f>
        <v>0</v>
      </c>
      <c r="K56" s="27">
        <f t="array" ref="K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0))=2))</f>
        <v>0</v>
      </c>
      <c r="L56" s="27">
        <f t="array" ref="L56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MATCH(G56, 'Polla - Grupos'!$D$8:$BR$8, 0))=1))</f>
        <v>0</v>
      </c>
      <c r="M56" s="52">
        <f t="shared" si="2"/>
        <v>0</v>
      </c>
      <c r="N56" s="53"/>
      <c r="O56" s="52">
        <f>COUNTIF($M$6:$M$70, "&gt;"&amp;M56) + COUNTIF($M$6:M56, M56)</f>
        <v>51</v>
      </c>
      <c r="P56" s="54" t="str">
        <f t="shared" si="3"/>
        <v>Luis Alfredo Plaza</v>
      </c>
    </row>
    <row r="57" spans="3:16" ht="15.75" x14ac:dyDescent="0.25">
      <c r="C57" s="47" t="str">
        <f>'Polla - Grupos'!BC8</f>
        <v>Naty Bermudez</v>
      </c>
      <c r="D57" s="48">
        <f>'Polla - Grupos'!BC435</f>
        <v>0</v>
      </c>
      <c r="E57" s="49">
        <f>COUNTIF($D$6:$D$64, "&gt;"&amp;D57) + COUNTIF($D$6:D57, D57)</f>
        <v>52</v>
      </c>
      <c r="F57" s="43"/>
      <c r="G57" s="50" t="str">
        <f t="shared" si="0"/>
        <v>Naty Bermudez</v>
      </c>
      <c r="H57" s="51">
        <f t="shared" si="1"/>
        <v>0</v>
      </c>
      <c r="I57" s="27">
        <f t="array" ref="I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0))=5))</f>
        <v>0</v>
      </c>
      <c r="J57" s="27">
        <f t="array" ref="J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0))=3))</f>
        <v>0</v>
      </c>
      <c r="K57" s="27">
        <f t="array" ref="K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0))=2))</f>
        <v>0</v>
      </c>
      <c r="L57" s="27">
        <f t="array" ref="L57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MATCH(G57, 'Polla - Grupos'!$D$8:$BR$8, 0))=1))</f>
        <v>0</v>
      </c>
      <c r="M57" s="52">
        <f t="shared" si="2"/>
        <v>0</v>
      </c>
      <c r="N57" s="53"/>
      <c r="O57" s="52">
        <f>COUNTIF($M$6:$M$70, "&gt;"&amp;M57) + COUNTIF($M$6:M57, M57)</f>
        <v>52</v>
      </c>
      <c r="P57" s="54" t="str">
        <f t="shared" si="3"/>
        <v>Naty Bermudez</v>
      </c>
    </row>
    <row r="58" spans="3:16" ht="15.75" x14ac:dyDescent="0.25">
      <c r="C58" s="47" t="str">
        <f>'Polla - Grupos'!BD8</f>
        <v>Edgar Ivan Giraldo Duran</v>
      </c>
      <c r="D58" s="48">
        <f>'Polla - Grupos'!BD435</f>
        <v>0</v>
      </c>
      <c r="E58" s="49">
        <f>COUNTIF($D$6:$D$64, "&gt;"&amp;D58) + COUNTIF($D$6:D58, D58)</f>
        <v>53</v>
      </c>
      <c r="F58" s="43"/>
      <c r="G58" s="50" t="str">
        <f t="shared" si="0"/>
        <v>Edgar Ivan Giraldo Duran</v>
      </c>
      <c r="H58" s="51">
        <f t="shared" si="1"/>
        <v>0</v>
      </c>
      <c r="I58" s="27">
        <f t="array" ref="I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0))=5))</f>
        <v>0</v>
      </c>
      <c r="J58" s="27">
        <f t="array" ref="J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0))=3))</f>
        <v>0</v>
      </c>
      <c r="K58" s="27">
        <f t="array" ref="K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0))=2))</f>
        <v>0</v>
      </c>
      <c r="L58" s="27">
        <f t="array" ref="L58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MATCH(G58, 'Polla - Grupos'!$D$8:$BR$8, 0))=1))</f>
        <v>0</v>
      </c>
      <c r="M58" s="52">
        <f t="shared" si="2"/>
        <v>0</v>
      </c>
      <c r="N58" s="53"/>
      <c r="O58" s="52">
        <f>COUNTIF($M$6:$M$70, "&gt;"&amp;M58) + COUNTIF($M$6:M58, M58)</f>
        <v>53</v>
      </c>
      <c r="P58" s="54" t="str">
        <f t="shared" si="3"/>
        <v>Edgar Ivan Giraldo Duran</v>
      </c>
    </row>
    <row r="59" spans="3:16" ht="15.75" x14ac:dyDescent="0.25">
      <c r="C59" s="47" t="str">
        <f>'Polla - Grupos'!BE8</f>
        <v>Caterine Filigrana</v>
      </c>
      <c r="D59" s="48">
        <f>'Polla - Grupos'!BE435</f>
        <v>0</v>
      </c>
      <c r="E59" s="49">
        <f>COUNTIF($D$6:$D$64, "&gt;"&amp;D59) + COUNTIF($D$6:D59, D59)</f>
        <v>54</v>
      </c>
      <c r="F59" s="43"/>
      <c r="G59" s="50" t="str">
        <f t="shared" si="0"/>
        <v>Caterine Filigrana</v>
      </c>
      <c r="H59" s="51">
        <f t="shared" si="1"/>
        <v>0</v>
      </c>
      <c r="I59" s="27">
        <f t="array" ref="I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0))=5))</f>
        <v>0</v>
      </c>
      <c r="J59" s="27">
        <f t="array" ref="J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0))=3))</f>
        <v>0</v>
      </c>
      <c r="K59" s="27">
        <f t="array" ref="K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0))=2))</f>
        <v>0</v>
      </c>
      <c r="L59" s="27">
        <f t="array" ref="L59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MATCH(G59, 'Polla - Grupos'!$D$8:$BR$8, 0))=1))</f>
        <v>0</v>
      </c>
      <c r="M59" s="52">
        <f t="shared" si="2"/>
        <v>0</v>
      </c>
      <c r="N59" s="53"/>
      <c r="O59" s="52">
        <f>COUNTIF($M$6:$M$70, "&gt;"&amp;M59) + COUNTIF($M$6:M59, M59)</f>
        <v>54</v>
      </c>
      <c r="P59" s="54" t="str">
        <f t="shared" si="3"/>
        <v>Caterine Filigrana</v>
      </c>
    </row>
    <row r="60" spans="3:16" ht="15.75" x14ac:dyDescent="0.25">
      <c r="C60" s="47" t="str">
        <f>'Polla - Grupos'!BF8</f>
        <v>Adriana Belalcazar</v>
      </c>
      <c r="D60" s="48">
        <f>'Polla - Grupos'!BF435</f>
        <v>0</v>
      </c>
      <c r="E60" s="49">
        <f>COUNTIF($D$6:$D$64, "&gt;"&amp;D60) + COUNTIF($D$6:D60, D60)</f>
        <v>55</v>
      </c>
      <c r="F60" s="43"/>
      <c r="G60" s="50" t="str">
        <f t="shared" si="0"/>
        <v>Adriana Belalcazar</v>
      </c>
      <c r="H60" s="51">
        <f t="shared" si="1"/>
        <v>0</v>
      </c>
      <c r="I60" s="27">
        <f t="array" ref="I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0))=5))</f>
        <v>0</v>
      </c>
      <c r="J60" s="27">
        <f t="array" ref="J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0))=3))</f>
        <v>0</v>
      </c>
      <c r="K60" s="27">
        <f t="array" ref="K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0))=2))</f>
        <v>0</v>
      </c>
      <c r="L60" s="27">
        <f t="array" ref="L60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MATCH(G60, 'Polla - Grupos'!$D$8:$BR$8, 0))=1))</f>
        <v>0</v>
      </c>
      <c r="M60" s="52">
        <f t="shared" si="2"/>
        <v>0</v>
      </c>
      <c r="N60" s="53"/>
      <c r="O60" s="52">
        <f>COUNTIF($M$6:$M$70, "&gt;"&amp;M60) + COUNTIF($M$6:M60, M60)</f>
        <v>55</v>
      </c>
      <c r="P60" s="54" t="str">
        <f t="shared" si="3"/>
        <v>Adriana Belalcazar</v>
      </c>
    </row>
    <row r="61" spans="3:16" ht="15.75" x14ac:dyDescent="0.25">
      <c r="C61" s="47" t="str">
        <f>'Polla - Grupos'!BG8</f>
        <v>Angelisa Hurtado</v>
      </c>
      <c r="D61" s="48">
        <f>'Polla - Grupos'!BG435</f>
        <v>0</v>
      </c>
      <c r="E61" s="49">
        <f>COUNTIF($D$6:$D$64, "&gt;"&amp;D61) + COUNTIF($D$6:D61, D61)</f>
        <v>56</v>
      </c>
      <c r="F61" s="43"/>
      <c r="G61" s="50" t="str">
        <f t="shared" si="0"/>
        <v>Angelisa Hurtado</v>
      </c>
      <c r="H61" s="51">
        <f t="shared" si="1"/>
        <v>0</v>
      </c>
      <c r="I61" s="27">
        <f t="array" ref="I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0))=5))</f>
        <v>0</v>
      </c>
      <c r="J61" s="27">
        <f t="array" ref="J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0))=3))</f>
        <v>0</v>
      </c>
      <c r="K61" s="27">
        <f t="array" ref="K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0))=2))</f>
        <v>0</v>
      </c>
      <c r="L61" s="27">
        <f t="array" ref="L61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MATCH(G61, 'Polla - Grupos'!$D$8:$BR$8, 0))=1))</f>
        <v>0</v>
      </c>
      <c r="M61" s="52">
        <f t="shared" si="2"/>
        <v>0</v>
      </c>
      <c r="N61" s="53"/>
      <c r="O61" s="52">
        <f>COUNTIF($M$6:$M$70, "&gt;"&amp;M61) + COUNTIF($M$6:M61, M61)</f>
        <v>56</v>
      </c>
      <c r="P61" s="54" t="str">
        <f t="shared" si="3"/>
        <v>Angelisa Hurtado</v>
      </c>
    </row>
    <row r="62" spans="3:16" ht="15.75" x14ac:dyDescent="0.25">
      <c r="C62" s="47" t="str">
        <f>'Polla - Grupos'!BH8</f>
        <v>Isabela Muñoz</v>
      </c>
      <c r="D62" s="48">
        <f>'Polla - Grupos'!BH435</f>
        <v>0</v>
      </c>
      <c r="E62" s="49">
        <f>COUNTIF($D$6:$D$64, "&gt;"&amp;D62) + COUNTIF($D$6:D62, D62)</f>
        <v>57</v>
      </c>
      <c r="F62" s="43"/>
      <c r="G62" s="50" t="str">
        <f>INDEX($C$6:$C$64, MATCH(ROW(A57), $E$6:$E$64, 0))</f>
        <v>Isabela Muñoz</v>
      </c>
      <c r="H62" s="51">
        <f t="shared" si="1"/>
        <v>0</v>
      </c>
      <c r="I62" s="27">
        <f t="array" ref="I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0))=5))</f>
        <v>0</v>
      </c>
      <c r="J62" s="27">
        <f t="array" ref="J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0))=3))</f>
        <v>0</v>
      </c>
      <c r="K62" s="27">
        <f t="array" ref="K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0))=2))</f>
        <v>0</v>
      </c>
      <c r="L62" s="27">
        <f t="array" ref="L62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MATCH(G62, 'Polla - Grupos'!$D$8:$BR$8, 0))=1))</f>
        <v>0</v>
      </c>
      <c r="M62" s="52">
        <f t="shared" si="2"/>
        <v>0</v>
      </c>
      <c r="N62" s="53"/>
      <c r="O62" s="52">
        <f>COUNTIF($M$6:$M$70, "&gt;"&amp;M62) + COUNTIF($M$6:M62, M62)</f>
        <v>57</v>
      </c>
      <c r="P62" s="54" t="str">
        <f t="shared" si="3"/>
        <v>Isabela Muñoz</v>
      </c>
    </row>
    <row r="63" spans="3:16" ht="15.75" x14ac:dyDescent="0.25">
      <c r="C63" s="47" t="str">
        <f>'Polla - Grupos'!BI8</f>
        <v>Francisco Moreno Alvarez</v>
      </c>
      <c r="D63" s="48">
        <f>'Polla - Grupos'!BI435</f>
        <v>0</v>
      </c>
      <c r="E63" s="49">
        <f>COUNTIF($D$6:$D$64, "&gt;"&amp;D63) + COUNTIF($D$6:D63, D63)</f>
        <v>58</v>
      </c>
      <c r="F63" s="43"/>
      <c r="G63" s="50" t="str">
        <f>INDEX($C$6:$C$64, MATCH(ROW(A58), $E$6:$E$64, 0))</f>
        <v>Francisco Moreno Alvarez</v>
      </c>
      <c r="H63" s="51">
        <f t="shared" si="1"/>
        <v>0</v>
      </c>
      <c r="I63" s="27">
        <f t="array" ref="I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0))=5))</f>
        <v>0</v>
      </c>
      <c r="J63" s="27">
        <f t="array" ref="J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0))=3))</f>
        <v>0</v>
      </c>
      <c r="K63" s="27">
        <f t="array" ref="K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0))=2))</f>
        <v>0</v>
      </c>
      <c r="L63" s="27">
        <f t="array" ref="L63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MATCH(G63, 'Polla - Grupos'!$D$8:$BR$8, 0))=1))</f>
        <v>0</v>
      </c>
      <c r="M63" s="52">
        <f t="shared" si="2"/>
        <v>0</v>
      </c>
      <c r="N63" s="53"/>
      <c r="O63" s="52">
        <f>COUNTIF($M$6:$M$70, "&gt;"&amp;M63) + COUNTIF($M$6:M63, M63)</f>
        <v>58</v>
      </c>
      <c r="P63" s="54" t="str">
        <f t="shared" si="3"/>
        <v>Francisco Moreno Alvarez</v>
      </c>
    </row>
    <row r="64" spans="3:16" ht="15.75" x14ac:dyDescent="0.25">
      <c r="C64" s="47" t="str">
        <f>'Polla - Grupos'!BJ8</f>
        <v>Angelica Maria Panesso</v>
      </c>
      <c r="D64" s="48">
        <f>'Polla - Grupos'!BJ435</f>
        <v>0</v>
      </c>
      <c r="E64" s="49">
        <f>COUNTIF($D$6:$D$64, "&gt;"&amp;D64) + COUNTIF($D$6:D64, D64)</f>
        <v>59</v>
      </c>
      <c r="F64" s="43"/>
      <c r="G64" s="50" t="str">
        <f t="shared" si="0"/>
        <v>Angelica Maria Panesso</v>
      </c>
      <c r="H64" s="51">
        <f t="shared" si="1"/>
        <v>0</v>
      </c>
      <c r="I64" s="27">
        <f t="array" ref="I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0))=5))</f>
        <v>0</v>
      </c>
      <c r="J64" s="27">
        <f t="array" ref="J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0))=3))</f>
        <v>0</v>
      </c>
      <c r="K64" s="27">
        <f t="array" ref="K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0))=2))</f>
        <v>0</v>
      </c>
      <c r="L64" s="27">
        <f t="array" ref="L64">SUMPRODUCT(IFERROR(N(MATCH(ROW('Polla - Grupos'!$D$11:$D$432), {11;16;21;26;31;36;47;52;57;62;67;72;83;88;93;98;103;108;119;124;129;134;139;144;155;160;165;170;175;180;191;196;201;206;211;216;227;232;237;242;247;252;263;268;273;278;283;288;299;304;309;314;319;324;335;340;345;350;355;360;371;376;381;386;391;396;407;412;417;422;427;432}, 0)&gt;0), 0) * (INDEX('Polla - Grupos'!$D$11:$BR$432, 0, MATCH(G64, 'Polla - Grupos'!$D$8:$BR$8, 0))=1))</f>
        <v>0</v>
      </c>
      <c r="M64" s="52">
        <f t="shared" si="2"/>
        <v>0</v>
      </c>
      <c r="N64" s="53"/>
      <c r="O64" s="52">
        <f>COUNTIF($M$6:$M$70, "&gt;"&amp;M64) + COUNTIF($M$6:M64, M64)</f>
        <v>59</v>
      </c>
      <c r="P64" s="54" t="str">
        <f t="shared" si="3"/>
        <v>Angelica Maria Panesso</v>
      </c>
    </row>
    <row r="65" spans="3:16" ht="15.75" customHeight="1" x14ac:dyDescent="0.25"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3:16" ht="15.75" customHeight="1" x14ac:dyDescent="0.25"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3:16" ht="15.75" customHeight="1" x14ac:dyDescent="0.25">
      <c r="C67" s="41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3:16" ht="15.75" customHeight="1" x14ac:dyDescent="0.25">
      <c r="C68" s="41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3:16" ht="15.75" customHeight="1" x14ac:dyDescent="0.25">
      <c r="C69" s="41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3:16" ht="15.75" customHeight="1" x14ac:dyDescent="0.25">
      <c r="C70" s="41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3:16" ht="15.75" customHeight="1" x14ac:dyDescent="0.25">
      <c r="C71" s="41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3:16" ht="15.75" customHeight="1" x14ac:dyDescent="0.25">
      <c r="C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3:16" ht="15.75" customHeight="1" x14ac:dyDescent="0.25">
      <c r="C73" s="41"/>
    </row>
    <row r="74" spans="3:16" ht="15.75" customHeight="1" x14ac:dyDescent="0.25">
      <c r="C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3:16" ht="15.75" customHeight="1" x14ac:dyDescent="0.25">
      <c r="C75" s="41"/>
      <c r="E75" s="41"/>
      <c r="F75" s="41"/>
    </row>
    <row r="76" spans="3:16" ht="15.75" customHeight="1" x14ac:dyDescent="0.25">
      <c r="C76" s="41"/>
      <c r="E76" s="41"/>
      <c r="F76" s="41"/>
    </row>
    <row r="77" spans="3:16" ht="15.75" customHeight="1" x14ac:dyDescent="0.25">
      <c r="C77" s="41"/>
      <c r="E77" s="41"/>
      <c r="F77" s="41"/>
    </row>
    <row r="78" spans="3:16" ht="15.75" customHeight="1" x14ac:dyDescent="0.25">
      <c r="C78" s="41"/>
      <c r="E78" s="41"/>
      <c r="F78" s="41"/>
    </row>
    <row r="79" spans="3:16" ht="15.75" customHeight="1" x14ac:dyDescent="0.25">
      <c r="C79" s="41"/>
      <c r="E79" s="41"/>
      <c r="F79" s="41"/>
    </row>
    <row r="80" spans="3:16" ht="15.75" customHeight="1" x14ac:dyDescent="0.25">
      <c r="C80" s="41"/>
      <c r="E80" s="41"/>
      <c r="F80" s="41"/>
    </row>
    <row r="81" spans="3:6" ht="15.75" customHeight="1" x14ac:dyDescent="0.25">
      <c r="C81" s="41"/>
      <c r="E81" s="41"/>
      <c r="F81" s="41"/>
    </row>
    <row r="82" spans="3:6" ht="15.75" customHeight="1" x14ac:dyDescent="0.25">
      <c r="C82" s="41"/>
      <c r="E82" s="41"/>
      <c r="F82" s="41"/>
    </row>
    <row r="83" spans="3:6" ht="15.75" customHeight="1" x14ac:dyDescent="0.25">
      <c r="C83" s="41"/>
      <c r="E83" s="41"/>
      <c r="F83" s="41"/>
    </row>
    <row r="84" spans="3:6" ht="15.75" customHeight="1" x14ac:dyDescent="0.25">
      <c r="C84" s="41"/>
      <c r="E84" s="41"/>
      <c r="F84" s="41"/>
    </row>
    <row r="85" spans="3:6" ht="15.75" customHeight="1" x14ac:dyDescent="0.25">
      <c r="C85" s="41"/>
      <c r="E85" s="41"/>
      <c r="F85" s="41"/>
    </row>
    <row r="86" spans="3:6" ht="15.75" customHeight="1" x14ac:dyDescent="0.25">
      <c r="C86" s="41"/>
      <c r="E86" s="41"/>
      <c r="F86" s="41"/>
    </row>
    <row r="87" spans="3:6" ht="15.75" customHeight="1" x14ac:dyDescent="0.25">
      <c r="C87" s="41"/>
      <c r="E87" s="41"/>
      <c r="F87" s="41"/>
    </row>
    <row r="88" spans="3:6" ht="15.75" customHeight="1" x14ac:dyDescent="0.25">
      <c r="C88" s="41"/>
      <c r="E88" s="41"/>
      <c r="F88" s="41"/>
    </row>
    <row r="89" spans="3:6" ht="15.75" customHeight="1" x14ac:dyDescent="0.25">
      <c r="C89" s="41"/>
      <c r="E89" s="41"/>
      <c r="F89" s="41"/>
    </row>
    <row r="90" spans="3:6" ht="15.75" customHeight="1" x14ac:dyDescent="0.25">
      <c r="C90" s="41"/>
      <c r="E90" s="41"/>
      <c r="F90" s="41"/>
    </row>
    <row r="91" spans="3:6" ht="15.75" customHeight="1" x14ac:dyDescent="0.25">
      <c r="C91" s="41"/>
      <c r="E91" s="41"/>
      <c r="F91" s="41"/>
    </row>
    <row r="92" spans="3:6" ht="15.75" customHeight="1" x14ac:dyDescent="0.25">
      <c r="C92" s="41"/>
      <c r="E92" s="41"/>
      <c r="F92" s="41"/>
    </row>
    <row r="93" spans="3:6" ht="15.75" customHeight="1" x14ac:dyDescent="0.25">
      <c r="C93" s="41"/>
      <c r="E93" s="41"/>
      <c r="F93" s="41"/>
    </row>
    <row r="94" spans="3:6" ht="15.75" customHeight="1" x14ac:dyDescent="0.25">
      <c r="C94" s="41"/>
      <c r="E94" s="41"/>
      <c r="F94" s="41"/>
    </row>
    <row r="95" spans="3:6" ht="15.75" customHeight="1" x14ac:dyDescent="0.25">
      <c r="C95" s="41"/>
      <c r="E95" s="41"/>
      <c r="F95" s="41"/>
    </row>
    <row r="96" spans="3:6" ht="15.75" customHeight="1" x14ac:dyDescent="0.25">
      <c r="C96" s="41"/>
      <c r="E96" s="41"/>
      <c r="F96" s="41"/>
    </row>
    <row r="97" spans="3:6" ht="15.75" customHeight="1" x14ac:dyDescent="0.25">
      <c r="C97" s="41"/>
      <c r="E97" s="41"/>
      <c r="F97" s="41"/>
    </row>
    <row r="98" spans="3:6" ht="15.75" customHeight="1" x14ac:dyDescent="0.25">
      <c r="C98" s="41"/>
      <c r="E98" s="41"/>
      <c r="F98" s="41"/>
    </row>
    <row r="99" spans="3:6" ht="15.75" customHeight="1" x14ac:dyDescent="0.25">
      <c r="C99" s="41"/>
      <c r="E99" s="41"/>
      <c r="F99" s="41"/>
    </row>
    <row r="100" spans="3:6" ht="15.75" customHeight="1" x14ac:dyDescent="0.25">
      <c r="C100" s="41"/>
      <c r="E100" s="41"/>
      <c r="F100" s="41"/>
    </row>
    <row r="101" spans="3:6" ht="15.75" customHeight="1" x14ac:dyDescent="0.25">
      <c r="C101" s="41"/>
      <c r="E101" s="41"/>
      <c r="F101" s="41"/>
    </row>
    <row r="102" spans="3:6" ht="15.75" customHeight="1" x14ac:dyDescent="0.25">
      <c r="C102" s="41"/>
      <c r="E102" s="41"/>
      <c r="F102" s="41"/>
    </row>
    <row r="103" spans="3:6" ht="15.75" customHeight="1" x14ac:dyDescent="0.25">
      <c r="C103" s="41"/>
      <c r="E103" s="41"/>
      <c r="F103" s="41"/>
    </row>
    <row r="104" spans="3:6" ht="15.75" customHeight="1" x14ac:dyDescent="0.25">
      <c r="C104" s="41"/>
      <c r="E104" s="41"/>
      <c r="F104" s="41"/>
    </row>
    <row r="105" spans="3:6" ht="15.75" customHeight="1" x14ac:dyDescent="0.25">
      <c r="C105" s="41"/>
      <c r="E105" s="41"/>
      <c r="F105" s="41"/>
    </row>
    <row r="106" spans="3:6" ht="15.75" customHeight="1" x14ac:dyDescent="0.25">
      <c r="C106" s="41"/>
      <c r="E106" s="41"/>
      <c r="F106" s="41"/>
    </row>
    <row r="107" spans="3:6" ht="15.75" customHeight="1" x14ac:dyDescent="0.25">
      <c r="C107" s="41"/>
      <c r="E107" s="41"/>
      <c r="F107" s="41"/>
    </row>
    <row r="108" spans="3:6" ht="15.75" customHeight="1" x14ac:dyDescent="0.25">
      <c r="C108" s="41"/>
      <c r="E108" s="41"/>
      <c r="F108" s="41"/>
    </row>
    <row r="109" spans="3:6" ht="15.75" customHeight="1" x14ac:dyDescent="0.25">
      <c r="C109" s="41"/>
      <c r="E109" s="41"/>
      <c r="F109" s="41"/>
    </row>
    <row r="110" spans="3:6" ht="15.75" customHeight="1" x14ac:dyDescent="0.25">
      <c r="C110" s="41"/>
      <c r="E110" s="41"/>
      <c r="F110" s="41"/>
    </row>
    <row r="111" spans="3:6" ht="15.75" customHeight="1" x14ac:dyDescent="0.25">
      <c r="C111" s="41"/>
      <c r="E111" s="41"/>
      <c r="F111" s="41"/>
    </row>
    <row r="112" spans="3:6" ht="15.75" customHeight="1" x14ac:dyDescent="0.25">
      <c r="C112" s="41"/>
      <c r="E112" s="41"/>
      <c r="F112" s="41"/>
    </row>
    <row r="113" spans="3:6" ht="15.75" customHeight="1" x14ac:dyDescent="0.25">
      <c r="C113" s="41"/>
      <c r="E113" s="41"/>
      <c r="F113" s="41"/>
    </row>
    <row r="114" spans="3:6" ht="15.75" customHeight="1" x14ac:dyDescent="0.25">
      <c r="C114" s="41"/>
      <c r="E114" s="41"/>
      <c r="F114" s="41"/>
    </row>
    <row r="115" spans="3:6" ht="15.75" customHeight="1" x14ac:dyDescent="0.25">
      <c r="C115" s="41"/>
      <c r="E115" s="41"/>
      <c r="F115" s="41"/>
    </row>
    <row r="116" spans="3:6" ht="15.75" customHeight="1" x14ac:dyDescent="0.25">
      <c r="C116" s="41"/>
      <c r="E116" s="41"/>
      <c r="F116" s="41"/>
    </row>
    <row r="117" spans="3:6" ht="15.75" customHeight="1" x14ac:dyDescent="0.25">
      <c r="C117" s="41"/>
      <c r="E117" s="41"/>
      <c r="F117" s="41"/>
    </row>
    <row r="118" spans="3:6" ht="15.75" customHeight="1" x14ac:dyDescent="0.25">
      <c r="C118" s="41"/>
      <c r="E118" s="41"/>
      <c r="F118" s="41"/>
    </row>
    <row r="119" spans="3:6" ht="15.75" customHeight="1" x14ac:dyDescent="0.25">
      <c r="C119" s="41"/>
      <c r="E119" s="41"/>
      <c r="F119" s="41"/>
    </row>
    <row r="120" spans="3:6" ht="15.75" customHeight="1" x14ac:dyDescent="0.25">
      <c r="C120" s="41"/>
      <c r="E120" s="41"/>
      <c r="F120" s="41"/>
    </row>
    <row r="121" spans="3:6" ht="15.75" customHeight="1" x14ac:dyDescent="0.25">
      <c r="C121" s="41"/>
      <c r="E121" s="41"/>
      <c r="F121" s="41"/>
    </row>
    <row r="122" spans="3:6" ht="15.75" customHeight="1" x14ac:dyDescent="0.25">
      <c r="C122" s="41"/>
      <c r="E122" s="41"/>
      <c r="F122" s="41"/>
    </row>
    <row r="123" spans="3:6" ht="15.75" customHeight="1" x14ac:dyDescent="0.25">
      <c r="C123" s="41"/>
      <c r="E123" s="41"/>
      <c r="F123" s="41"/>
    </row>
    <row r="124" spans="3:6" ht="15.75" customHeight="1" x14ac:dyDescent="0.25">
      <c r="C124" s="41"/>
      <c r="E124" s="41"/>
      <c r="F124" s="41"/>
    </row>
    <row r="125" spans="3:6" ht="15.75" customHeight="1" x14ac:dyDescent="0.25">
      <c r="C125" s="41"/>
      <c r="E125" s="41"/>
      <c r="F125" s="41"/>
    </row>
    <row r="126" spans="3:6" ht="15.75" customHeight="1" x14ac:dyDescent="0.25">
      <c r="C126" s="41"/>
      <c r="E126" s="41"/>
      <c r="F126" s="41"/>
    </row>
    <row r="127" spans="3:6" ht="15.75" customHeight="1" x14ac:dyDescent="0.25">
      <c r="C127" s="41"/>
      <c r="E127" s="41"/>
      <c r="F127" s="41"/>
    </row>
    <row r="128" spans="3:6" ht="15.75" customHeight="1" x14ac:dyDescent="0.25">
      <c r="C128" s="41"/>
      <c r="E128" s="41"/>
      <c r="F128" s="41"/>
    </row>
    <row r="129" spans="3:6" ht="15.75" customHeight="1" x14ac:dyDescent="0.25">
      <c r="C129" s="41"/>
      <c r="E129" s="41"/>
      <c r="F129" s="41"/>
    </row>
    <row r="130" spans="3:6" ht="15.75" customHeight="1" x14ac:dyDescent="0.25">
      <c r="C130" s="41"/>
      <c r="E130" s="41"/>
      <c r="F130" s="41"/>
    </row>
    <row r="131" spans="3:6" ht="15.75" customHeight="1" x14ac:dyDescent="0.25">
      <c r="C131" s="41"/>
      <c r="E131" s="41"/>
      <c r="F131" s="41"/>
    </row>
    <row r="132" spans="3:6" ht="15.75" customHeight="1" x14ac:dyDescent="0.25">
      <c r="C132" s="41"/>
      <c r="E132" s="41"/>
      <c r="F132" s="41"/>
    </row>
    <row r="133" spans="3:6" ht="15.75" customHeight="1" x14ac:dyDescent="0.25">
      <c r="C133" s="41"/>
      <c r="E133" s="41"/>
      <c r="F133" s="41"/>
    </row>
    <row r="134" spans="3:6" ht="15.75" customHeight="1" x14ac:dyDescent="0.25">
      <c r="C134" s="41"/>
      <c r="E134" s="41"/>
      <c r="F134" s="41"/>
    </row>
    <row r="135" spans="3:6" ht="15.75" customHeight="1" x14ac:dyDescent="0.25">
      <c r="C135" s="41"/>
      <c r="E135" s="41"/>
      <c r="F135" s="41"/>
    </row>
    <row r="136" spans="3:6" ht="15.75" customHeight="1" x14ac:dyDescent="0.25">
      <c r="C136" s="41"/>
      <c r="E136" s="41"/>
      <c r="F136" s="41"/>
    </row>
    <row r="137" spans="3:6" ht="15.75" customHeight="1" x14ac:dyDescent="0.25">
      <c r="C137" s="41"/>
      <c r="E137" s="41"/>
      <c r="F137" s="41"/>
    </row>
    <row r="138" spans="3:6" ht="15.75" customHeight="1" x14ac:dyDescent="0.25">
      <c r="C138" s="41"/>
      <c r="E138" s="41"/>
      <c r="F138" s="41"/>
    </row>
    <row r="139" spans="3:6" ht="15.75" customHeight="1" x14ac:dyDescent="0.25">
      <c r="C139" s="41"/>
      <c r="E139" s="41"/>
      <c r="F139" s="41"/>
    </row>
    <row r="140" spans="3:6" ht="15.75" customHeight="1" x14ac:dyDescent="0.25">
      <c r="C140" s="41"/>
      <c r="E140" s="41"/>
      <c r="F140" s="41"/>
    </row>
    <row r="141" spans="3:6" ht="15.75" customHeight="1" x14ac:dyDescent="0.25">
      <c r="C141" s="41"/>
      <c r="E141" s="41"/>
      <c r="F141" s="41"/>
    </row>
    <row r="142" spans="3:6" ht="15.75" customHeight="1" x14ac:dyDescent="0.25">
      <c r="C142" s="41"/>
      <c r="E142" s="41"/>
      <c r="F142" s="41"/>
    </row>
    <row r="143" spans="3:6" ht="15.75" customHeight="1" x14ac:dyDescent="0.25">
      <c r="C143" s="41"/>
      <c r="E143" s="41"/>
      <c r="F143" s="41"/>
    </row>
    <row r="144" spans="3:6" ht="15.75" customHeight="1" x14ac:dyDescent="0.25">
      <c r="C144" s="41"/>
      <c r="E144" s="41"/>
      <c r="F144" s="41"/>
    </row>
    <row r="145" spans="3:6" ht="15.75" customHeight="1" x14ac:dyDescent="0.25">
      <c r="C145" s="41"/>
      <c r="E145" s="41"/>
      <c r="F145" s="41"/>
    </row>
    <row r="146" spans="3:6" ht="15.75" customHeight="1" x14ac:dyDescent="0.25">
      <c r="C146" s="41"/>
      <c r="E146" s="41"/>
      <c r="F146" s="41"/>
    </row>
    <row r="147" spans="3:6" ht="15.75" customHeight="1" x14ac:dyDescent="0.25">
      <c r="C147" s="41"/>
      <c r="E147" s="41"/>
      <c r="F147" s="41"/>
    </row>
    <row r="148" spans="3:6" ht="15.75" customHeight="1" x14ac:dyDescent="0.25">
      <c r="C148" s="41"/>
      <c r="E148" s="41"/>
      <c r="F148" s="41"/>
    </row>
    <row r="149" spans="3:6" ht="15.75" customHeight="1" x14ac:dyDescent="0.25">
      <c r="C149" s="41"/>
      <c r="E149" s="41"/>
      <c r="F149" s="41"/>
    </row>
    <row r="150" spans="3:6" ht="15.75" customHeight="1" x14ac:dyDescent="0.25">
      <c r="C150" s="41"/>
      <c r="E150" s="41"/>
      <c r="F150" s="41"/>
    </row>
    <row r="151" spans="3:6" ht="15.75" customHeight="1" x14ac:dyDescent="0.25">
      <c r="C151" s="41"/>
      <c r="E151" s="41"/>
      <c r="F151" s="41"/>
    </row>
    <row r="152" spans="3:6" ht="15.75" customHeight="1" x14ac:dyDescent="0.25">
      <c r="C152" s="41"/>
      <c r="E152" s="41"/>
      <c r="F152" s="41"/>
    </row>
    <row r="153" spans="3:6" ht="15.75" customHeight="1" x14ac:dyDescent="0.25">
      <c r="C153" s="41"/>
      <c r="E153" s="41"/>
      <c r="F153" s="41"/>
    </row>
    <row r="154" spans="3:6" ht="15.75" customHeight="1" x14ac:dyDescent="0.25">
      <c r="C154" s="41"/>
      <c r="E154" s="41"/>
      <c r="F154" s="41"/>
    </row>
    <row r="155" spans="3:6" ht="15.75" customHeight="1" x14ac:dyDescent="0.25">
      <c r="C155" s="41"/>
      <c r="E155" s="41"/>
      <c r="F155" s="41"/>
    </row>
    <row r="156" spans="3:6" ht="15.75" customHeight="1" x14ac:dyDescent="0.25">
      <c r="C156" s="41"/>
      <c r="E156" s="41"/>
      <c r="F156" s="41"/>
    </row>
    <row r="157" spans="3:6" ht="15.75" customHeight="1" x14ac:dyDescent="0.25">
      <c r="C157" s="41"/>
      <c r="E157" s="41"/>
      <c r="F157" s="41"/>
    </row>
    <row r="158" spans="3:6" ht="15.75" customHeight="1" x14ac:dyDescent="0.25">
      <c r="C158" s="41"/>
      <c r="E158" s="41"/>
      <c r="F158" s="41"/>
    </row>
    <row r="159" spans="3:6" ht="15.75" customHeight="1" x14ac:dyDescent="0.25">
      <c r="C159" s="41"/>
      <c r="E159" s="41"/>
      <c r="F159" s="41"/>
    </row>
    <row r="160" spans="3:6" ht="15.75" customHeight="1" x14ac:dyDescent="0.25">
      <c r="C160" s="41"/>
      <c r="E160" s="41"/>
      <c r="F160" s="41"/>
    </row>
    <row r="161" spans="3:6" ht="15.75" customHeight="1" x14ac:dyDescent="0.25">
      <c r="C161" s="41"/>
      <c r="E161" s="41"/>
      <c r="F161" s="41"/>
    </row>
    <row r="162" spans="3:6" ht="15.75" customHeight="1" x14ac:dyDescent="0.25">
      <c r="C162" s="41"/>
      <c r="E162" s="41"/>
      <c r="F162" s="41"/>
    </row>
    <row r="163" spans="3:6" ht="15.75" customHeight="1" x14ac:dyDescent="0.25">
      <c r="C163" s="41"/>
      <c r="E163" s="41"/>
      <c r="F163" s="41"/>
    </row>
    <row r="164" spans="3:6" ht="15.75" customHeight="1" x14ac:dyDescent="0.25">
      <c r="C164" s="41"/>
      <c r="E164" s="41"/>
      <c r="F164" s="41"/>
    </row>
    <row r="165" spans="3:6" ht="15.75" customHeight="1" x14ac:dyDescent="0.25">
      <c r="C165" s="41"/>
      <c r="E165" s="41"/>
      <c r="F165" s="41"/>
    </row>
    <row r="166" spans="3:6" ht="15.75" customHeight="1" x14ac:dyDescent="0.25">
      <c r="C166" s="41"/>
      <c r="E166" s="41"/>
      <c r="F166" s="41"/>
    </row>
    <row r="167" spans="3:6" ht="15.75" customHeight="1" x14ac:dyDescent="0.25">
      <c r="C167" s="41"/>
      <c r="E167" s="41"/>
      <c r="F167" s="41"/>
    </row>
    <row r="168" spans="3:6" ht="15.75" customHeight="1" x14ac:dyDescent="0.25">
      <c r="C168" s="41"/>
      <c r="E168" s="41"/>
      <c r="F168" s="41"/>
    </row>
    <row r="169" spans="3:6" ht="15.75" customHeight="1" x14ac:dyDescent="0.25">
      <c r="C169" s="41"/>
      <c r="E169" s="41"/>
      <c r="F169" s="41"/>
    </row>
    <row r="170" spans="3:6" ht="15.75" customHeight="1" x14ac:dyDescent="0.25">
      <c r="C170" s="41"/>
      <c r="E170" s="41"/>
      <c r="F170" s="41"/>
    </row>
    <row r="171" spans="3:6" ht="15.75" customHeight="1" x14ac:dyDescent="0.25">
      <c r="C171" s="41"/>
      <c r="E171" s="41"/>
      <c r="F171" s="41"/>
    </row>
    <row r="172" spans="3:6" ht="15.75" customHeight="1" x14ac:dyDescent="0.25">
      <c r="C172" s="41"/>
      <c r="E172" s="41"/>
      <c r="F172" s="41"/>
    </row>
    <row r="173" spans="3:6" ht="15.75" customHeight="1" x14ac:dyDescent="0.25">
      <c r="C173" s="41"/>
      <c r="E173" s="41"/>
      <c r="F173" s="41"/>
    </row>
    <row r="174" spans="3:6" ht="15.75" customHeight="1" x14ac:dyDescent="0.25">
      <c r="C174" s="41"/>
      <c r="E174" s="41"/>
      <c r="F174" s="41"/>
    </row>
    <row r="175" spans="3:6" ht="15.75" customHeight="1" x14ac:dyDescent="0.25">
      <c r="C175" s="41"/>
      <c r="E175" s="41"/>
      <c r="F175" s="41"/>
    </row>
    <row r="176" spans="3:6" ht="15.75" customHeight="1" x14ac:dyDescent="0.25">
      <c r="C176" s="41"/>
      <c r="E176" s="41"/>
      <c r="F176" s="41"/>
    </row>
    <row r="177" spans="3:6" ht="15.75" customHeight="1" x14ac:dyDescent="0.25">
      <c r="C177" s="41"/>
      <c r="E177" s="41"/>
      <c r="F177" s="41"/>
    </row>
    <row r="178" spans="3:6" ht="15.75" customHeight="1" x14ac:dyDescent="0.25">
      <c r="C178" s="41"/>
      <c r="E178" s="41"/>
      <c r="F178" s="41"/>
    </row>
    <row r="179" spans="3:6" ht="15.75" customHeight="1" x14ac:dyDescent="0.25">
      <c r="C179" s="41"/>
      <c r="E179" s="41"/>
      <c r="F179" s="41"/>
    </row>
    <row r="180" spans="3:6" ht="15.75" customHeight="1" x14ac:dyDescent="0.25">
      <c r="C180" s="41"/>
      <c r="E180" s="41"/>
      <c r="F180" s="41"/>
    </row>
    <row r="181" spans="3:6" ht="15.75" customHeight="1" x14ac:dyDescent="0.25">
      <c r="C181" s="41"/>
      <c r="E181" s="41"/>
      <c r="F181" s="41"/>
    </row>
    <row r="182" spans="3:6" ht="15.75" customHeight="1" x14ac:dyDescent="0.25">
      <c r="C182" s="41"/>
      <c r="E182" s="41"/>
      <c r="F182" s="41"/>
    </row>
    <row r="183" spans="3:6" ht="15.75" customHeight="1" x14ac:dyDescent="0.25">
      <c r="C183" s="41"/>
      <c r="E183" s="41"/>
      <c r="F183" s="41"/>
    </row>
    <row r="184" spans="3:6" ht="15.75" customHeight="1" x14ac:dyDescent="0.25">
      <c r="C184" s="41"/>
      <c r="E184" s="41"/>
      <c r="F184" s="41"/>
    </row>
    <row r="185" spans="3:6" ht="15.75" customHeight="1" x14ac:dyDescent="0.25">
      <c r="C185" s="41"/>
      <c r="E185" s="41"/>
      <c r="F185" s="41"/>
    </row>
    <row r="186" spans="3:6" ht="15.75" customHeight="1" x14ac:dyDescent="0.25">
      <c r="C186" s="41"/>
      <c r="E186" s="41"/>
      <c r="F186" s="41"/>
    </row>
    <row r="187" spans="3:6" ht="15.75" customHeight="1" x14ac:dyDescent="0.25">
      <c r="C187" s="41"/>
      <c r="E187" s="41"/>
      <c r="F187" s="41"/>
    </row>
    <row r="188" spans="3:6" ht="15.75" customHeight="1" x14ac:dyDescent="0.25">
      <c r="C188" s="41"/>
      <c r="E188" s="41"/>
      <c r="F188" s="41"/>
    </row>
    <row r="189" spans="3:6" ht="15.75" customHeight="1" x14ac:dyDescent="0.25">
      <c r="C189" s="41"/>
      <c r="E189" s="41"/>
      <c r="F189" s="41"/>
    </row>
    <row r="190" spans="3:6" ht="15.75" customHeight="1" x14ac:dyDescent="0.25">
      <c r="C190" s="41"/>
      <c r="E190" s="41"/>
      <c r="F190" s="41"/>
    </row>
    <row r="191" spans="3:6" ht="15.75" customHeight="1" x14ac:dyDescent="0.25">
      <c r="C191" s="41"/>
      <c r="E191" s="41"/>
      <c r="F191" s="41"/>
    </row>
    <row r="192" spans="3:6" ht="15.75" customHeight="1" x14ac:dyDescent="0.25">
      <c r="C192" s="41"/>
      <c r="E192" s="41"/>
      <c r="F192" s="41"/>
    </row>
    <row r="193" spans="3:6" ht="15.75" customHeight="1" x14ac:dyDescent="0.25">
      <c r="C193" s="41"/>
      <c r="E193" s="41"/>
      <c r="F193" s="41"/>
    </row>
    <row r="194" spans="3:6" ht="15.75" customHeight="1" x14ac:dyDescent="0.25">
      <c r="C194" s="41"/>
      <c r="E194" s="41"/>
      <c r="F194" s="41"/>
    </row>
    <row r="195" spans="3:6" ht="15.75" customHeight="1" x14ac:dyDescent="0.25">
      <c r="C195" s="41"/>
      <c r="E195" s="41"/>
      <c r="F195" s="41"/>
    </row>
    <row r="196" spans="3:6" ht="15.75" customHeight="1" x14ac:dyDescent="0.25">
      <c r="C196" s="41"/>
      <c r="E196" s="41"/>
      <c r="F196" s="41"/>
    </row>
    <row r="197" spans="3:6" ht="15.75" customHeight="1" x14ac:dyDescent="0.25">
      <c r="C197" s="41"/>
      <c r="E197" s="41"/>
      <c r="F197" s="41"/>
    </row>
    <row r="198" spans="3:6" ht="15.75" customHeight="1" x14ac:dyDescent="0.25">
      <c r="C198" s="41"/>
      <c r="E198" s="41"/>
      <c r="F198" s="41"/>
    </row>
    <row r="199" spans="3:6" ht="15.75" customHeight="1" x14ac:dyDescent="0.25">
      <c r="C199" s="41"/>
      <c r="E199" s="41"/>
      <c r="F199" s="41"/>
    </row>
    <row r="200" spans="3:6" ht="15.75" customHeight="1" x14ac:dyDescent="0.25">
      <c r="C200" s="41"/>
      <c r="E200" s="41"/>
      <c r="F200" s="41"/>
    </row>
    <row r="201" spans="3:6" ht="15.75" customHeight="1" x14ac:dyDescent="0.25">
      <c r="C201" s="41"/>
      <c r="E201" s="41"/>
      <c r="F201" s="41"/>
    </row>
    <row r="202" spans="3:6" ht="15.75" customHeight="1" x14ac:dyDescent="0.25">
      <c r="C202" s="41"/>
      <c r="E202" s="41"/>
      <c r="F202" s="41"/>
    </row>
    <row r="203" spans="3:6" ht="15.75" customHeight="1" x14ac:dyDescent="0.25">
      <c r="C203" s="41"/>
      <c r="E203" s="41"/>
      <c r="F203" s="41"/>
    </row>
    <row r="204" spans="3:6" ht="15.75" customHeight="1" x14ac:dyDescent="0.25">
      <c r="C204" s="41"/>
      <c r="E204" s="41"/>
      <c r="F204" s="41"/>
    </row>
    <row r="205" spans="3:6" ht="15.75" customHeight="1" x14ac:dyDescent="0.25">
      <c r="C205" s="41"/>
      <c r="E205" s="41"/>
      <c r="F205" s="41"/>
    </row>
    <row r="206" spans="3:6" ht="15.75" customHeight="1" x14ac:dyDescent="0.25">
      <c r="C206" s="41"/>
      <c r="E206" s="41"/>
      <c r="F206" s="41"/>
    </row>
    <row r="207" spans="3:6" ht="15.75" customHeight="1" x14ac:dyDescent="0.25">
      <c r="C207" s="41"/>
      <c r="E207" s="41"/>
      <c r="F207" s="41"/>
    </row>
    <row r="208" spans="3:6" ht="15.75" customHeight="1" x14ac:dyDescent="0.25">
      <c r="C208" s="41"/>
      <c r="E208" s="41"/>
      <c r="F208" s="41"/>
    </row>
    <row r="209" spans="3:6" ht="15.75" customHeight="1" x14ac:dyDescent="0.25">
      <c r="C209" s="41"/>
      <c r="E209" s="41"/>
      <c r="F209" s="41"/>
    </row>
    <row r="210" spans="3:6" ht="15.75" customHeight="1" x14ac:dyDescent="0.25">
      <c r="C210" s="41"/>
      <c r="E210" s="41"/>
      <c r="F210" s="41"/>
    </row>
    <row r="211" spans="3:6" ht="15.75" customHeight="1" x14ac:dyDescent="0.25">
      <c r="C211" s="41"/>
      <c r="E211" s="41"/>
      <c r="F211" s="41"/>
    </row>
    <row r="212" spans="3:6" ht="15.75" customHeight="1" x14ac:dyDescent="0.25">
      <c r="C212" s="41"/>
      <c r="E212" s="41"/>
      <c r="F212" s="41"/>
    </row>
    <row r="213" spans="3:6" ht="15.75" customHeight="1" x14ac:dyDescent="0.25">
      <c r="C213" s="41"/>
      <c r="E213" s="41"/>
      <c r="F213" s="41"/>
    </row>
    <row r="214" spans="3:6" ht="15.75" customHeight="1" x14ac:dyDescent="0.25">
      <c r="C214" s="41"/>
      <c r="E214" s="41"/>
      <c r="F214" s="41"/>
    </row>
    <row r="215" spans="3:6" ht="15.75" customHeight="1" x14ac:dyDescent="0.25">
      <c r="C215" s="41"/>
      <c r="E215" s="41"/>
      <c r="F215" s="41"/>
    </row>
    <row r="216" spans="3:6" ht="15.75" customHeight="1" x14ac:dyDescent="0.25">
      <c r="C216" s="41"/>
      <c r="E216" s="41"/>
      <c r="F216" s="41"/>
    </row>
    <row r="217" spans="3:6" ht="15.75" customHeight="1" x14ac:dyDescent="0.25">
      <c r="C217" s="41"/>
      <c r="E217" s="41"/>
      <c r="F217" s="41"/>
    </row>
    <row r="218" spans="3:6" ht="15.75" customHeight="1" x14ac:dyDescent="0.25">
      <c r="C218" s="41"/>
      <c r="E218" s="41"/>
      <c r="F218" s="41"/>
    </row>
    <row r="219" spans="3:6" ht="15.75" customHeight="1" x14ac:dyDescent="0.25">
      <c r="C219" s="41"/>
      <c r="E219" s="41"/>
      <c r="F219" s="41"/>
    </row>
    <row r="220" spans="3:6" ht="15.75" customHeight="1" x14ac:dyDescent="0.25">
      <c r="C220" s="41"/>
      <c r="E220" s="41"/>
      <c r="F220" s="41"/>
    </row>
    <row r="221" spans="3:6" ht="15.75" customHeight="1" x14ac:dyDescent="0.25">
      <c r="C221" s="41"/>
      <c r="E221" s="41"/>
      <c r="F221" s="41"/>
    </row>
    <row r="222" spans="3:6" ht="15.75" customHeight="1" x14ac:dyDescent="0.25">
      <c r="C222" s="41"/>
      <c r="E222" s="41"/>
      <c r="F222" s="41"/>
    </row>
    <row r="223" spans="3:6" ht="15.75" customHeight="1" x14ac:dyDescent="0.25">
      <c r="C223" s="41"/>
      <c r="E223" s="41"/>
      <c r="F223" s="41"/>
    </row>
    <row r="224" spans="3:6" ht="15.75" customHeight="1" x14ac:dyDescent="0.25">
      <c r="C224" s="41"/>
      <c r="E224" s="41"/>
      <c r="F224" s="41"/>
    </row>
    <row r="225" spans="3:6" ht="15.75" customHeight="1" x14ac:dyDescent="0.25">
      <c r="C225" s="41"/>
      <c r="E225" s="41"/>
      <c r="F225" s="41"/>
    </row>
    <row r="226" spans="3:6" ht="15.75" customHeight="1" x14ac:dyDescent="0.25">
      <c r="C226" s="41"/>
      <c r="E226" s="41"/>
      <c r="F226" s="41"/>
    </row>
    <row r="227" spans="3:6" ht="15.75" customHeight="1" x14ac:dyDescent="0.25">
      <c r="C227" s="41"/>
      <c r="E227" s="41"/>
      <c r="F227" s="41"/>
    </row>
    <row r="228" spans="3:6" ht="15.75" customHeight="1" x14ac:dyDescent="0.25">
      <c r="C228" s="41"/>
      <c r="E228" s="41"/>
      <c r="F228" s="41"/>
    </row>
    <row r="229" spans="3:6" ht="15.75" customHeight="1" x14ac:dyDescent="0.25">
      <c r="C229" s="41"/>
      <c r="E229" s="41"/>
      <c r="F229" s="41"/>
    </row>
    <row r="230" spans="3:6" ht="15.75" customHeight="1" x14ac:dyDescent="0.25">
      <c r="C230" s="41"/>
      <c r="E230" s="41"/>
      <c r="F230" s="41"/>
    </row>
    <row r="231" spans="3:6" ht="15.75" customHeight="1" x14ac:dyDescent="0.25">
      <c r="C231" s="41"/>
      <c r="E231" s="41"/>
      <c r="F231" s="41"/>
    </row>
    <row r="232" spans="3:6" ht="15.75" customHeight="1" x14ac:dyDescent="0.25">
      <c r="C232" s="41"/>
      <c r="E232" s="41"/>
      <c r="F232" s="41"/>
    </row>
    <row r="233" spans="3:6" ht="15.75" customHeight="1" x14ac:dyDescent="0.25">
      <c r="C233" s="41"/>
      <c r="E233" s="41"/>
      <c r="F233" s="41"/>
    </row>
    <row r="234" spans="3:6" ht="15.75" customHeight="1" x14ac:dyDescent="0.25">
      <c r="C234" s="41"/>
      <c r="E234" s="41"/>
      <c r="F234" s="41"/>
    </row>
    <row r="235" spans="3:6" ht="15.75" customHeight="1" x14ac:dyDescent="0.25">
      <c r="C235" s="41"/>
      <c r="E235" s="41"/>
      <c r="F235" s="41"/>
    </row>
    <row r="236" spans="3:6" ht="15.75" customHeight="1" x14ac:dyDescent="0.25">
      <c r="C236" s="41"/>
      <c r="E236" s="41"/>
      <c r="F236" s="41"/>
    </row>
    <row r="237" spans="3:6" ht="15.75" customHeight="1" x14ac:dyDescent="0.25">
      <c r="C237" s="41"/>
      <c r="E237" s="41"/>
      <c r="F237" s="41"/>
    </row>
    <row r="238" spans="3:6" ht="15.75" customHeight="1" x14ac:dyDescent="0.25">
      <c r="C238" s="41"/>
      <c r="E238" s="41"/>
      <c r="F238" s="41"/>
    </row>
    <row r="239" spans="3:6" ht="15.75" customHeight="1" x14ac:dyDescent="0.25">
      <c r="C239" s="41"/>
      <c r="E239" s="41"/>
      <c r="F239" s="41"/>
    </row>
    <row r="240" spans="3:6" ht="15.75" customHeight="1" x14ac:dyDescent="0.25">
      <c r="C240" s="41"/>
      <c r="E240" s="41"/>
      <c r="F240" s="41"/>
    </row>
    <row r="241" spans="3:6" ht="15.75" customHeight="1" x14ac:dyDescent="0.25">
      <c r="C241" s="41"/>
      <c r="E241" s="41"/>
      <c r="F241" s="41"/>
    </row>
    <row r="242" spans="3:6" ht="15.75" customHeight="1" x14ac:dyDescent="0.25">
      <c r="C242" s="41"/>
      <c r="E242" s="41"/>
      <c r="F242" s="41"/>
    </row>
    <row r="243" spans="3:6" ht="15.75" customHeight="1" x14ac:dyDescent="0.25">
      <c r="C243" s="41"/>
      <c r="E243" s="41"/>
      <c r="F243" s="41"/>
    </row>
    <row r="244" spans="3:6" ht="15.75" customHeight="1" x14ac:dyDescent="0.25">
      <c r="C244" s="41"/>
      <c r="E244" s="41"/>
      <c r="F244" s="41"/>
    </row>
    <row r="245" spans="3:6" ht="15.75" customHeight="1" x14ac:dyDescent="0.25">
      <c r="C245" s="41"/>
      <c r="E245" s="41"/>
      <c r="F245" s="41"/>
    </row>
    <row r="246" spans="3:6" ht="15.75" customHeight="1" x14ac:dyDescent="0.25">
      <c r="C246" s="41"/>
      <c r="E246" s="41"/>
      <c r="F246" s="41"/>
    </row>
    <row r="247" spans="3:6" ht="15.75" customHeight="1" x14ac:dyDescent="0.25">
      <c r="C247" s="41"/>
      <c r="E247" s="41"/>
      <c r="F247" s="41"/>
    </row>
    <row r="248" spans="3:6" ht="15.75" customHeight="1" x14ac:dyDescent="0.25">
      <c r="C248" s="41"/>
      <c r="E248" s="41"/>
      <c r="F248" s="41"/>
    </row>
    <row r="249" spans="3:6" ht="15.75" customHeight="1" x14ac:dyDescent="0.25">
      <c r="C249" s="41"/>
      <c r="E249" s="41"/>
      <c r="F249" s="41"/>
    </row>
    <row r="250" spans="3:6" ht="15.75" customHeight="1" x14ac:dyDescent="0.25">
      <c r="C250" s="41"/>
      <c r="E250" s="41"/>
      <c r="F250" s="41"/>
    </row>
    <row r="251" spans="3:6" ht="15.75" customHeight="1" x14ac:dyDescent="0.25">
      <c r="C251" s="41"/>
      <c r="E251" s="41"/>
      <c r="F251" s="41"/>
    </row>
    <row r="252" spans="3:6" ht="15.75" customHeight="1" x14ac:dyDescent="0.25">
      <c r="C252" s="41"/>
      <c r="E252" s="41"/>
      <c r="F252" s="41"/>
    </row>
    <row r="253" spans="3:6" ht="15.75" customHeight="1" x14ac:dyDescent="0.25">
      <c r="C253" s="41"/>
      <c r="E253" s="41"/>
      <c r="F253" s="41"/>
    </row>
    <row r="254" spans="3:6" ht="15.75" customHeight="1" x14ac:dyDescent="0.25">
      <c r="C254" s="41"/>
      <c r="E254" s="41"/>
      <c r="F254" s="41"/>
    </row>
    <row r="255" spans="3:6" ht="15.75" customHeight="1" x14ac:dyDescent="0.25">
      <c r="C255" s="41"/>
      <c r="E255" s="41"/>
      <c r="F255" s="41"/>
    </row>
    <row r="256" spans="3:6" ht="15.75" customHeight="1" x14ac:dyDescent="0.25">
      <c r="C256" s="41"/>
      <c r="E256" s="41"/>
      <c r="F256" s="41"/>
    </row>
    <row r="257" spans="3:6" ht="15.75" customHeight="1" x14ac:dyDescent="0.25">
      <c r="C257" s="41"/>
      <c r="E257" s="41"/>
      <c r="F257" s="41"/>
    </row>
    <row r="258" spans="3:6" ht="15.75" customHeight="1" x14ac:dyDescent="0.25">
      <c r="C258" s="41"/>
      <c r="E258" s="41"/>
      <c r="F258" s="41"/>
    </row>
    <row r="259" spans="3:6" ht="15.75" customHeight="1" x14ac:dyDescent="0.25">
      <c r="C259" s="41"/>
      <c r="E259" s="41"/>
      <c r="F259" s="41"/>
    </row>
    <row r="260" spans="3:6" ht="15.75" customHeight="1" x14ac:dyDescent="0.25">
      <c r="C260" s="41"/>
      <c r="E260" s="41"/>
      <c r="F260" s="41"/>
    </row>
    <row r="261" spans="3:6" ht="15.75" customHeight="1" x14ac:dyDescent="0.25">
      <c r="C261" s="41"/>
      <c r="E261" s="41"/>
      <c r="F261" s="41"/>
    </row>
    <row r="262" spans="3:6" ht="15.75" customHeight="1" x14ac:dyDescent="0.25">
      <c r="C262" s="41"/>
      <c r="E262" s="41"/>
      <c r="F262" s="41"/>
    </row>
    <row r="263" spans="3:6" ht="15.75" customHeight="1" x14ac:dyDescent="0.25">
      <c r="C263" s="41"/>
      <c r="E263" s="41"/>
      <c r="F263" s="41"/>
    </row>
    <row r="264" spans="3:6" ht="15.75" customHeight="1" x14ac:dyDescent="0.25">
      <c r="C264" s="41"/>
      <c r="E264" s="41"/>
      <c r="F264" s="41"/>
    </row>
    <row r="265" spans="3:6" ht="15.75" customHeight="1" x14ac:dyDescent="0.25">
      <c r="C265" s="41"/>
      <c r="E265" s="41"/>
      <c r="F265" s="41"/>
    </row>
    <row r="266" spans="3:6" ht="15.75" customHeight="1" x14ac:dyDescent="0.25">
      <c r="C266" s="41"/>
      <c r="E266" s="41"/>
      <c r="F266" s="41"/>
    </row>
    <row r="267" spans="3:6" ht="15.75" customHeight="1" x14ac:dyDescent="0.25">
      <c r="C267" s="41"/>
      <c r="E267" s="41"/>
      <c r="F267" s="41"/>
    </row>
    <row r="268" spans="3:6" ht="15.75" customHeight="1" x14ac:dyDescent="0.25">
      <c r="C268" s="41"/>
      <c r="E268" s="41"/>
      <c r="F268" s="41"/>
    </row>
    <row r="269" spans="3:6" ht="15.75" customHeight="1" x14ac:dyDescent="0.25">
      <c r="C269" s="41"/>
      <c r="E269" s="41"/>
      <c r="F269" s="41"/>
    </row>
    <row r="270" spans="3:6" ht="15.75" customHeight="1" x14ac:dyDescent="0.25">
      <c r="C270" s="41"/>
      <c r="E270" s="41"/>
      <c r="F270" s="41"/>
    </row>
    <row r="271" spans="3:6" ht="15.75" customHeight="1" x14ac:dyDescent="0.25">
      <c r="C271" s="41"/>
      <c r="E271" s="41"/>
      <c r="F271" s="41"/>
    </row>
    <row r="272" spans="3:6" ht="15.75" customHeight="1" x14ac:dyDescent="0.25">
      <c r="C272" s="41"/>
      <c r="E272" s="41"/>
      <c r="F272" s="41"/>
    </row>
    <row r="273" spans="3:6" ht="15.75" customHeight="1" x14ac:dyDescent="0.25">
      <c r="C273" s="41"/>
      <c r="E273" s="41"/>
      <c r="F273" s="41"/>
    </row>
    <row r="274" spans="3:6" ht="15.75" customHeight="1" x14ac:dyDescent="0.25">
      <c r="C274" s="41"/>
      <c r="E274" s="41"/>
      <c r="F274" s="41"/>
    </row>
    <row r="275" spans="3:6" ht="15.75" customHeight="1" x14ac:dyDescent="0.25">
      <c r="C275" s="41"/>
      <c r="E275" s="41"/>
      <c r="F275" s="41"/>
    </row>
    <row r="276" spans="3:6" ht="15.75" customHeight="1" x14ac:dyDescent="0.25">
      <c r="C276" s="41"/>
      <c r="E276" s="41"/>
      <c r="F276" s="41"/>
    </row>
    <row r="277" spans="3:6" ht="15.75" customHeight="1" x14ac:dyDescent="0.25">
      <c r="C277" s="41"/>
      <c r="E277" s="41"/>
      <c r="F277" s="41"/>
    </row>
    <row r="278" spans="3:6" ht="15.75" customHeight="1" x14ac:dyDescent="0.25">
      <c r="C278" s="41"/>
      <c r="E278" s="41"/>
      <c r="F278" s="41"/>
    </row>
    <row r="279" spans="3:6" ht="15.75" customHeight="1" x14ac:dyDescent="0.25">
      <c r="C279" s="41"/>
      <c r="E279" s="41"/>
      <c r="F279" s="41"/>
    </row>
    <row r="280" spans="3:6" ht="15.75" customHeight="1" x14ac:dyDescent="0.25">
      <c r="C280" s="41"/>
      <c r="E280" s="41"/>
      <c r="F280" s="41"/>
    </row>
    <row r="281" spans="3:6" ht="15.75" customHeight="1" x14ac:dyDescent="0.25">
      <c r="C281" s="41"/>
      <c r="E281" s="41"/>
      <c r="F281" s="41"/>
    </row>
    <row r="282" spans="3:6" ht="15.75" customHeight="1" x14ac:dyDescent="0.25">
      <c r="C282" s="41"/>
      <c r="E282" s="41"/>
      <c r="F282" s="41"/>
    </row>
    <row r="283" spans="3:6" ht="15.75" customHeight="1" x14ac:dyDescent="0.25">
      <c r="C283" s="41"/>
      <c r="E283" s="41"/>
      <c r="F283" s="41"/>
    </row>
    <row r="284" spans="3:6" ht="15.75" customHeight="1" x14ac:dyDescent="0.25">
      <c r="C284" s="41"/>
      <c r="E284" s="41"/>
      <c r="F284" s="41"/>
    </row>
    <row r="285" spans="3:6" ht="15.75" customHeight="1" x14ac:dyDescent="0.25">
      <c r="C285" s="41"/>
      <c r="E285" s="41"/>
      <c r="F285" s="41"/>
    </row>
    <row r="286" spans="3:6" ht="15.75" customHeight="1" x14ac:dyDescent="0.25">
      <c r="C286" s="41"/>
      <c r="E286" s="41"/>
      <c r="F286" s="41"/>
    </row>
    <row r="287" spans="3:6" ht="15.75" customHeight="1" x14ac:dyDescent="0.25">
      <c r="C287" s="41"/>
      <c r="E287" s="41"/>
      <c r="F287" s="41"/>
    </row>
    <row r="288" spans="3:6" ht="15.75" customHeight="1" x14ac:dyDescent="0.25">
      <c r="C288" s="41"/>
      <c r="E288" s="41"/>
      <c r="F288" s="41"/>
    </row>
    <row r="289" spans="3:6" ht="15.75" customHeight="1" x14ac:dyDescent="0.25">
      <c r="C289" s="41"/>
      <c r="E289" s="41"/>
      <c r="F289" s="41"/>
    </row>
    <row r="290" spans="3:6" ht="15.75" customHeight="1" x14ac:dyDescent="0.25">
      <c r="C290" s="41"/>
      <c r="E290" s="41"/>
      <c r="F290" s="41"/>
    </row>
    <row r="291" spans="3:6" ht="15.75" customHeight="1" x14ac:dyDescent="0.25">
      <c r="C291" s="41"/>
      <c r="E291" s="41"/>
      <c r="F291" s="41"/>
    </row>
    <row r="292" spans="3:6" ht="15.75" customHeight="1" x14ac:dyDescent="0.25">
      <c r="C292" s="41"/>
      <c r="E292" s="41"/>
      <c r="F292" s="41"/>
    </row>
    <row r="293" spans="3:6" ht="15.75" customHeight="1" x14ac:dyDescent="0.25">
      <c r="C293" s="41"/>
      <c r="E293" s="41"/>
      <c r="F293" s="41"/>
    </row>
    <row r="294" spans="3:6" ht="15.75" customHeight="1" x14ac:dyDescent="0.25">
      <c r="C294" s="41"/>
      <c r="E294" s="41"/>
      <c r="F294" s="41"/>
    </row>
    <row r="295" spans="3:6" ht="15.75" customHeight="1" x14ac:dyDescent="0.25">
      <c r="C295" s="41"/>
      <c r="E295" s="41"/>
      <c r="F295" s="41"/>
    </row>
    <row r="296" spans="3:6" ht="15.75" customHeight="1" x14ac:dyDescent="0.25">
      <c r="C296" s="41"/>
      <c r="E296" s="41"/>
      <c r="F296" s="41"/>
    </row>
    <row r="297" spans="3:6" ht="15.75" customHeight="1" x14ac:dyDescent="0.25">
      <c r="C297" s="41"/>
      <c r="E297" s="41"/>
      <c r="F297" s="41"/>
    </row>
    <row r="298" spans="3:6" ht="15.75" customHeight="1" x14ac:dyDescent="0.25">
      <c r="C298" s="41"/>
      <c r="E298" s="41"/>
      <c r="F298" s="41"/>
    </row>
    <row r="299" spans="3:6" ht="15.75" customHeight="1" x14ac:dyDescent="0.25">
      <c r="C299" s="41"/>
      <c r="E299" s="41"/>
      <c r="F299" s="41"/>
    </row>
    <row r="300" spans="3:6" ht="15.75" customHeight="1" x14ac:dyDescent="0.25">
      <c r="C300" s="41"/>
      <c r="E300" s="41"/>
      <c r="F300" s="41"/>
    </row>
    <row r="301" spans="3:6" ht="15.75" customHeight="1" x14ac:dyDescent="0.25">
      <c r="C301" s="41"/>
      <c r="E301" s="41"/>
      <c r="F301" s="41"/>
    </row>
    <row r="302" spans="3:6" ht="15.75" customHeight="1" x14ac:dyDescent="0.25">
      <c r="C302" s="41"/>
      <c r="E302" s="41"/>
      <c r="F302" s="41"/>
    </row>
    <row r="303" spans="3:6" ht="15.75" customHeight="1" x14ac:dyDescent="0.25">
      <c r="C303" s="41"/>
      <c r="E303" s="41"/>
      <c r="F303" s="41"/>
    </row>
    <row r="304" spans="3:6" ht="15.75" customHeight="1" x14ac:dyDescent="0.25">
      <c r="C304" s="41"/>
      <c r="E304" s="41"/>
      <c r="F304" s="41"/>
    </row>
    <row r="305" spans="3:6" ht="15.75" customHeight="1" x14ac:dyDescent="0.25">
      <c r="C305" s="41"/>
      <c r="E305" s="41"/>
      <c r="F305" s="41"/>
    </row>
    <row r="306" spans="3:6" ht="15.75" customHeight="1" x14ac:dyDescent="0.25">
      <c r="C306" s="41"/>
      <c r="E306" s="41"/>
      <c r="F306" s="41"/>
    </row>
    <row r="307" spans="3:6" ht="15.75" customHeight="1" x14ac:dyDescent="0.25">
      <c r="C307" s="41"/>
      <c r="E307" s="41"/>
      <c r="F307" s="41"/>
    </row>
    <row r="308" spans="3:6" ht="15.75" customHeight="1" x14ac:dyDescent="0.25">
      <c r="C308" s="41"/>
      <c r="E308" s="41"/>
      <c r="F308" s="41"/>
    </row>
    <row r="309" spans="3:6" ht="15.75" customHeight="1" x14ac:dyDescent="0.25">
      <c r="C309" s="41"/>
      <c r="E309" s="41"/>
      <c r="F309" s="41"/>
    </row>
    <row r="310" spans="3:6" ht="15.75" customHeight="1" x14ac:dyDescent="0.25">
      <c r="C310" s="41"/>
      <c r="E310" s="41"/>
      <c r="F310" s="41"/>
    </row>
    <row r="311" spans="3:6" ht="15.75" customHeight="1" x14ac:dyDescent="0.25">
      <c r="C311" s="41"/>
      <c r="E311" s="41"/>
      <c r="F311" s="41"/>
    </row>
    <row r="312" spans="3:6" ht="15.75" customHeight="1" x14ac:dyDescent="0.25">
      <c r="C312" s="41"/>
      <c r="E312" s="41"/>
      <c r="F312" s="41"/>
    </row>
    <row r="313" spans="3:6" ht="15.75" customHeight="1" x14ac:dyDescent="0.25">
      <c r="C313" s="41"/>
      <c r="E313" s="41"/>
      <c r="F313" s="41"/>
    </row>
    <row r="314" spans="3:6" ht="15.75" customHeight="1" x14ac:dyDescent="0.25">
      <c r="C314" s="41"/>
      <c r="E314" s="41"/>
      <c r="F314" s="41"/>
    </row>
    <row r="315" spans="3:6" ht="15.75" customHeight="1" x14ac:dyDescent="0.25">
      <c r="C315" s="41"/>
      <c r="E315" s="41"/>
      <c r="F315" s="41"/>
    </row>
    <row r="316" spans="3:6" ht="15.75" customHeight="1" x14ac:dyDescent="0.25">
      <c r="C316" s="41"/>
      <c r="E316" s="41"/>
      <c r="F316" s="41"/>
    </row>
    <row r="317" spans="3:6" ht="15.75" customHeight="1" x14ac:dyDescent="0.25">
      <c r="C317" s="41"/>
      <c r="E317" s="41"/>
      <c r="F317" s="41"/>
    </row>
    <row r="318" spans="3:6" ht="15.75" customHeight="1" x14ac:dyDescent="0.25">
      <c r="C318" s="41"/>
      <c r="E318" s="41"/>
      <c r="F318" s="41"/>
    </row>
    <row r="319" spans="3:6" ht="15.75" customHeight="1" x14ac:dyDescent="0.25">
      <c r="C319" s="41"/>
      <c r="E319" s="41"/>
      <c r="F319" s="41"/>
    </row>
    <row r="320" spans="3:6" ht="15.75" customHeight="1" x14ac:dyDescent="0.25">
      <c r="C320" s="41"/>
      <c r="E320" s="41"/>
      <c r="F320" s="41"/>
    </row>
    <row r="321" spans="3:6" ht="15.75" customHeight="1" x14ac:dyDescent="0.25">
      <c r="C321" s="41"/>
      <c r="E321" s="41"/>
      <c r="F321" s="41"/>
    </row>
    <row r="322" spans="3:6" ht="15.75" customHeight="1" x14ac:dyDescent="0.25">
      <c r="C322" s="41"/>
      <c r="E322" s="41"/>
      <c r="F322" s="41"/>
    </row>
    <row r="323" spans="3:6" ht="15.75" customHeight="1" x14ac:dyDescent="0.25">
      <c r="C323" s="41"/>
      <c r="E323" s="41"/>
      <c r="F323" s="41"/>
    </row>
    <row r="324" spans="3:6" ht="15.75" customHeight="1" x14ac:dyDescent="0.25">
      <c r="C324" s="41"/>
      <c r="E324" s="41"/>
      <c r="F324" s="41"/>
    </row>
    <row r="325" spans="3:6" ht="15.75" customHeight="1" x14ac:dyDescent="0.25">
      <c r="C325" s="41"/>
      <c r="E325" s="41"/>
      <c r="F325" s="41"/>
    </row>
    <row r="326" spans="3:6" ht="15.75" customHeight="1" x14ac:dyDescent="0.25">
      <c r="C326" s="41"/>
      <c r="E326" s="41"/>
      <c r="F326" s="41"/>
    </row>
    <row r="327" spans="3:6" ht="15.75" customHeight="1" x14ac:dyDescent="0.25">
      <c r="C327" s="41"/>
      <c r="E327" s="41"/>
      <c r="F327" s="41"/>
    </row>
    <row r="328" spans="3:6" ht="15.75" customHeight="1" x14ac:dyDescent="0.25">
      <c r="C328" s="41"/>
      <c r="E328" s="41"/>
      <c r="F328" s="41"/>
    </row>
    <row r="329" spans="3:6" ht="15.75" customHeight="1" x14ac:dyDescent="0.25">
      <c r="C329" s="41"/>
      <c r="E329" s="41"/>
      <c r="F329" s="41"/>
    </row>
    <row r="330" spans="3:6" ht="15.75" customHeight="1" x14ac:dyDescent="0.25">
      <c r="C330" s="41"/>
      <c r="E330" s="41"/>
      <c r="F330" s="41"/>
    </row>
    <row r="331" spans="3:6" ht="15.75" customHeight="1" x14ac:dyDescent="0.25">
      <c r="C331" s="41"/>
      <c r="E331" s="41"/>
      <c r="F331" s="41"/>
    </row>
    <row r="332" spans="3:6" ht="15.75" customHeight="1" x14ac:dyDescent="0.25">
      <c r="C332" s="41"/>
      <c r="E332" s="41"/>
      <c r="F332" s="41"/>
    </row>
    <row r="333" spans="3:6" ht="15.75" customHeight="1" x14ac:dyDescent="0.25">
      <c r="C333" s="41"/>
      <c r="E333" s="41"/>
      <c r="F333" s="41"/>
    </row>
    <row r="334" spans="3:6" ht="15.75" customHeight="1" x14ac:dyDescent="0.25">
      <c r="C334" s="41"/>
      <c r="E334" s="41"/>
      <c r="F334" s="41"/>
    </row>
    <row r="335" spans="3:6" ht="15.75" customHeight="1" x14ac:dyDescent="0.25">
      <c r="C335" s="41"/>
      <c r="E335" s="41"/>
      <c r="F335" s="41"/>
    </row>
    <row r="336" spans="3:6" ht="15.75" customHeight="1" x14ac:dyDescent="0.25">
      <c r="C336" s="41"/>
      <c r="E336" s="41"/>
      <c r="F336" s="41"/>
    </row>
    <row r="337" spans="3:6" ht="15.75" customHeight="1" x14ac:dyDescent="0.25">
      <c r="C337" s="41"/>
      <c r="E337" s="41"/>
      <c r="F337" s="41"/>
    </row>
    <row r="338" spans="3:6" ht="15.75" customHeight="1" x14ac:dyDescent="0.25">
      <c r="C338" s="41"/>
      <c r="E338" s="41"/>
      <c r="F338" s="41"/>
    </row>
    <row r="339" spans="3:6" ht="15.75" customHeight="1" x14ac:dyDescent="0.25">
      <c r="C339" s="41"/>
      <c r="E339" s="41"/>
      <c r="F339" s="41"/>
    </row>
    <row r="340" spans="3:6" ht="15.75" customHeight="1" x14ac:dyDescent="0.25">
      <c r="C340" s="41"/>
      <c r="E340" s="41"/>
      <c r="F340" s="41"/>
    </row>
    <row r="341" spans="3:6" ht="15.75" customHeight="1" x14ac:dyDescent="0.25">
      <c r="C341" s="41"/>
      <c r="E341" s="41"/>
      <c r="F341" s="41"/>
    </row>
    <row r="342" spans="3:6" ht="15.75" customHeight="1" x14ac:dyDescent="0.25">
      <c r="C342" s="41"/>
      <c r="E342" s="41"/>
      <c r="F342" s="41"/>
    </row>
    <row r="343" spans="3:6" ht="15.75" customHeight="1" x14ac:dyDescent="0.25">
      <c r="C343" s="41"/>
      <c r="E343" s="41"/>
      <c r="F343" s="41"/>
    </row>
    <row r="344" spans="3:6" ht="15.75" customHeight="1" x14ac:dyDescent="0.25">
      <c r="C344" s="41"/>
      <c r="E344" s="41"/>
      <c r="F344" s="41"/>
    </row>
    <row r="345" spans="3:6" ht="15.75" customHeight="1" x14ac:dyDescent="0.25">
      <c r="C345" s="41"/>
      <c r="E345" s="41"/>
      <c r="F345" s="41"/>
    </row>
    <row r="346" spans="3:6" ht="15.75" customHeight="1" x14ac:dyDescent="0.25">
      <c r="C346" s="41"/>
      <c r="E346" s="41"/>
      <c r="F346" s="41"/>
    </row>
    <row r="347" spans="3:6" ht="15.75" customHeight="1" x14ac:dyDescent="0.25">
      <c r="C347" s="41"/>
      <c r="E347" s="41"/>
      <c r="F347" s="41"/>
    </row>
    <row r="348" spans="3:6" ht="15.75" customHeight="1" x14ac:dyDescent="0.25">
      <c r="C348" s="41"/>
      <c r="E348" s="41"/>
      <c r="F348" s="41"/>
    </row>
    <row r="349" spans="3:6" ht="15.75" customHeight="1" x14ac:dyDescent="0.25">
      <c r="C349" s="41"/>
      <c r="E349" s="41"/>
      <c r="F349" s="41"/>
    </row>
    <row r="350" spans="3:6" ht="15.75" customHeight="1" x14ac:dyDescent="0.25">
      <c r="C350" s="41"/>
      <c r="E350" s="41"/>
      <c r="F350" s="41"/>
    </row>
    <row r="351" spans="3:6" ht="15.75" customHeight="1" x14ac:dyDescent="0.25">
      <c r="C351" s="41"/>
      <c r="E351" s="41"/>
      <c r="F351" s="41"/>
    </row>
    <row r="352" spans="3:6" ht="15.75" customHeight="1" x14ac:dyDescent="0.25">
      <c r="C352" s="41"/>
      <c r="E352" s="41"/>
      <c r="F352" s="41"/>
    </row>
    <row r="353" spans="3:6" ht="15.75" customHeight="1" x14ac:dyDescent="0.25">
      <c r="C353" s="41"/>
      <c r="E353" s="41"/>
      <c r="F353" s="41"/>
    </row>
    <row r="354" spans="3:6" ht="15.75" customHeight="1" x14ac:dyDescent="0.25">
      <c r="C354" s="41"/>
      <c r="E354" s="41"/>
      <c r="F354" s="41"/>
    </row>
    <row r="355" spans="3:6" ht="15.75" customHeight="1" x14ac:dyDescent="0.25">
      <c r="C355" s="41"/>
      <c r="E355" s="41"/>
      <c r="F355" s="41"/>
    </row>
    <row r="356" spans="3:6" ht="15.75" customHeight="1" x14ac:dyDescent="0.25">
      <c r="C356" s="41"/>
      <c r="E356" s="41"/>
      <c r="F356" s="41"/>
    </row>
    <row r="357" spans="3:6" ht="15.75" customHeight="1" x14ac:dyDescent="0.25">
      <c r="C357" s="41"/>
      <c r="E357" s="41"/>
      <c r="F357" s="41"/>
    </row>
    <row r="358" spans="3:6" ht="15.75" customHeight="1" x14ac:dyDescent="0.25">
      <c r="C358" s="41"/>
      <c r="E358" s="41"/>
      <c r="F358" s="41"/>
    </row>
    <row r="359" spans="3:6" ht="15.75" customHeight="1" x14ac:dyDescent="0.25">
      <c r="C359" s="41"/>
      <c r="E359" s="41"/>
      <c r="F359" s="41"/>
    </row>
    <row r="360" spans="3:6" ht="15.75" customHeight="1" x14ac:dyDescent="0.25">
      <c r="C360" s="41"/>
      <c r="E360" s="41"/>
      <c r="F360" s="41"/>
    </row>
    <row r="361" spans="3:6" ht="15.75" customHeight="1" x14ac:dyDescent="0.25">
      <c r="C361" s="41"/>
      <c r="E361" s="41"/>
      <c r="F361" s="41"/>
    </row>
    <row r="362" spans="3:6" ht="15.75" customHeight="1" x14ac:dyDescent="0.25">
      <c r="C362" s="41"/>
      <c r="E362" s="41"/>
      <c r="F362" s="41"/>
    </row>
    <row r="363" spans="3:6" ht="15.75" customHeight="1" x14ac:dyDescent="0.25">
      <c r="C363" s="41"/>
      <c r="E363" s="41"/>
      <c r="F363" s="41"/>
    </row>
    <row r="364" spans="3:6" ht="15.75" customHeight="1" x14ac:dyDescent="0.25">
      <c r="C364" s="41"/>
      <c r="E364" s="41"/>
      <c r="F364" s="41"/>
    </row>
    <row r="365" spans="3:6" ht="15.75" customHeight="1" x14ac:dyDescent="0.25">
      <c r="C365" s="41"/>
      <c r="E365" s="41"/>
      <c r="F365" s="41"/>
    </row>
    <row r="366" spans="3:6" ht="15.75" customHeight="1" x14ac:dyDescent="0.25">
      <c r="C366" s="41"/>
      <c r="E366" s="41"/>
      <c r="F366" s="41"/>
    </row>
    <row r="367" spans="3:6" ht="15.75" customHeight="1" x14ac:dyDescent="0.25">
      <c r="C367" s="41"/>
      <c r="E367" s="41"/>
      <c r="F367" s="41"/>
    </row>
    <row r="368" spans="3:6" ht="15.75" customHeight="1" x14ac:dyDescent="0.25">
      <c r="C368" s="41"/>
      <c r="E368" s="41"/>
      <c r="F368" s="41"/>
    </row>
    <row r="369" spans="3:6" ht="15.75" customHeight="1" x14ac:dyDescent="0.25">
      <c r="C369" s="41"/>
      <c r="E369" s="41"/>
      <c r="F369" s="41"/>
    </row>
    <row r="370" spans="3:6" ht="15.75" customHeight="1" x14ac:dyDescent="0.25">
      <c r="C370" s="41"/>
      <c r="E370" s="41"/>
      <c r="F370" s="41"/>
    </row>
    <row r="371" spans="3:6" ht="15.75" customHeight="1" x14ac:dyDescent="0.25">
      <c r="C371" s="41"/>
      <c r="E371" s="41"/>
      <c r="F371" s="41"/>
    </row>
    <row r="372" spans="3:6" ht="15.75" customHeight="1" x14ac:dyDescent="0.25">
      <c r="C372" s="41"/>
      <c r="E372" s="41"/>
      <c r="F372" s="41"/>
    </row>
    <row r="373" spans="3:6" ht="15.75" customHeight="1" x14ac:dyDescent="0.25">
      <c r="C373" s="41"/>
      <c r="E373" s="41"/>
      <c r="F373" s="41"/>
    </row>
    <row r="374" spans="3:6" ht="15.75" customHeight="1" x14ac:dyDescent="0.25">
      <c r="C374" s="41"/>
      <c r="E374" s="41"/>
      <c r="F374" s="41"/>
    </row>
    <row r="375" spans="3:6" ht="15.75" customHeight="1" x14ac:dyDescent="0.25">
      <c r="C375" s="41"/>
      <c r="E375" s="41"/>
      <c r="F375" s="41"/>
    </row>
    <row r="376" spans="3:6" ht="15.75" customHeight="1" x14ac:dyDescent="0.25">
      <c r="C376" s="41"/>
      <c r="E376" s="41"/>
      <c r="F376" s="41"/>
    </row>
    <row r="377" spans="3:6" ht="15.75" customHeight="1" x14ac:dyDescent="0.25">
      <c r="C377" s="41"/>
      <c r="E377" s="41"/>
      <c r="F377" s="41"/>
    </row>
    <row r="378" spans="3:6" ht="15.75" customHeight="1" x14ac:dyDescent="0.25">
      <c r="C378" s="41"/>
      <c r="E378" s="41"/>
      <c r="F378" s="41"/>
    </row>
    <row r="379" spans="3:6" ht="15.75" customHeight="1" x14ac:dyDescent="0.25">
      <c r="C379" s="41"/>
      <c r="E379" s="41"/>
      <c r="F379" s="41"/>
    </row>
    <row r="380" spans="3:6" ht="15.75" customHeight="1" x14ac:dyDescent="0.25">
      <c r="C380" s="41"/>
      <c r="E380" s="41"/>
      <c r="F380" s="41"/>
    </row>
    <row r="381" spans="3:6" ht="15.75" customHeight="1" x14ac:dyDescent="0.25">
      <c r="C381" s="41"/>
      <c r="E381" s="41"/>
      <c r="F381" s="41"/>
    </row>
    <row r="382" spans="3:6" ht="15.75" customHeight="1" x14ac:dyDescent="0.25">
      <c r="C382" s="41"/>
      <c r="E382" s="41"/>
      <c r="F382" s="41"/>
    </row>
    <row r="383" spans="3:6" ht="15.75" customHeight="1" x14ac:dyDescent="0.25">
      <c r="C383" s="41"/>
      <c r="E383" s="41"/>
      <c r="F383" s="41"/>
    </row>
    <row r="384" spans="3:6" ht="15.75" customHeight="1" x14ac:dyDescent="0.25">
      <c r="C384" s="41"/>
      <c r="E384" s="41"/>
      <c r="F384" s="41"/>
    </row>
    <row r="385" spans="3:6" ht="15.75" customHeight="1" x14ac:dyDescent="0.25">
      <c r="C385" s="41"/>
      <c r="E385" s="41"/>
      <c r="F385" s="41"/>
    </row>
    <row r="386" spans="3:6" ht="15.75" customHeight="1" x14ac:dyDescent="0.25">
      <c r="C386" s="41"/>
      <c r="E386" s="41"/>
      <c r="F386" s="41"/>
    </row>
    <row r="387" spans="3:6" ht="15.75" customHeight="1" x14ac:dyDescent="0.25">
      <c r="C387" s="41"/>
      <c r="E387" s="41"/>
      <c r="F387" s="41"/>
    </row>
    <row r="388" spans="3:6" ht="15.75" customHeight="1" x14ac:dyDescent="0.25">
      <c r="C388" s="41"/>
      <c r="E388" s="41"/>
      <c r="F388" s="41"/>
    </row>
    <row r="389" spans="3:6" ht="15.75" customHeight="1" x14ac:dyDescent="0.25">
      <c r="C389" s="41"/>
      <c r="E389" s="41"/>
      <c r="F389" s="41"/>
    </row>
    <row r="390" spans="3:6" ht="15.75" customHeight="1" x14ac:dyDescent="0.25">
      <c r="C390" s="41"/>
      <c r="E390" s="41"/>
      <c r="F390" s="41"/>
    </row>
    <row r="391" spans="3:6" ht="15.75" customHeight="1" x14ac:dyDescent="0.25">
      <c r="C391" s="41"/>
      <c r="E391" s="41"/>
      <c r="F391" s="41"/>
    </row>
    <row r="392" spans="3:6" ht="15.75" customHeight="1" x14ac:dyDescent="0.25">
      <c r="C392" s="41"/>
      <c r="E392" s="41"/>
      <c r="F392" s="41"/>
    </row>
    <row r="393" spans="3:6" ht="15.75" customHeight="1" x14ac:dyDescent="0.25">
      <c r="C393" s="41"/>
      <c r="E393" s="41"/>
      <c r="F393" s="41"/>
    </row>
    <row r="394" spans="3:6" ht="15.75" customHeight="1" x14ac:dyDescent="0.25">
      <c r="C394" s="41"/>
      <c r="E394" s="41"/>
      <c r="F394" s="41"/>
    </row>
    <row r="395" spans="3:6" ht="15.75" customHeight="1" x14ac:dyDescent="0.25">
      <c r="C395" s="41"/>
      <c r="E395" s="41"/>
      <c r="F395" s="41"/>
    </row>
    <row r="396" spans="3:6" ht="15.75" customHeight="1" x14ac:dyDescent="0.25">
      <c r="C396" s="41"/>
      <c r="E396" s="41"/>
      <c r="F396" s="41"/>
    </row>
    <row r="397" spans="3:6" ht="15.75" customHeight="1" x14ac:dyDescent="0.25">
      <c r="C397" s="41"/>
      <c r="E397" s="41"/>
      <c r="F397" s="41"/>
    </row>
    <row r="398" spans="3:6" ht="15.75" customHeight="1" x14ac:dyDescent="0.25">
      <c r="C398" s="41"/>
      <c r="E398" s="41"/>
      <c r="F398" s="41"/>
    </row>
    <row r="399" spans="3:6" ht="15.75" customHeight="1" x14ac:dyDescent="0.25">
      <c r="C399" s="41"/>
      <c r="E399" s="41"/>
      <c r="F399" s="41"/>
    </row>
    <row r="400" spans="3:6" ht="15.75" customHeight="1" x14ac:dyDescent="0.25">
      <c r="C400" s="41"/>
      <c r="E400" s="41"/>
      <c r="F400" s="41"/>
    </row>
    <row r="401" spans="3:6" ht="15.75" customHeight="1" x14ac:dyDescent="0.25">
      <c r="C401" s="41"/>
      <c r="E401" s="41"/>
      <c r="F401" s="41"/>
    </row>
    <row r="402" spans="3:6" ht="15.75" customHeight="1" x14ac:dyDescent="0.25">
      <c r="C402" s="41"/>
      <c r="E402" s="41"/>
      <c r="F402" s="41"/>
    </row>
    <row r="403" spans="3:6" ht="15.75" customHeight="1" x14ac:dyDescent="0.25">
      <c r="C403" s="41"/>
      <c r="E403" s="41"/>
      <c r="F403" s="41"/>
    </row>
    <row r="404" spans="3:6" ht="15.75" customHeight="1" x14ac:dyDescent="0.25">
      <c r="C404" s="41"/>
      <c r="E404" s="41"/>
      <c r="F404" s="41"/>
    </row>
    <row r="405" spans="3:6" ht="15.75" customHeight="1" x14ac:dyDescent="0.25">
      <c r="C405" s="41"/>
      <c r="E405" s="41"/>
      <c r="F405" s="41"/>
    </row>
    <row r="406" spans="3:6" ht="15.75" customHeight="1" x14ac:dyDescent="0.25">
      <c r="C406" s="41"/>
      <c r="E406" s="41"/>
      <c r="F406" s="41"/>
    </row>
    <row r="407" spans="3:6" ht="15.75" customHeight="1" x14ac:dyDescent="0.25">
      <c r="C407" s="41"/>
      <c r="E407" s="41"/>
      <c r="F407" s="41"/>
    </row>
    <row r="408" spans="3:6" ht="15.75" customHeight="1" x14ac:dyDescent="0.25">
      <c r="C408" s="41"/>
      <c r="E408" s="41"/>
      <c r="F408" s="41"/>
    </row>
    <row r="409" spans="3:6" ht="15.75" customHeight="1" x14ac:dyDescent="0.25">
      <c r="C409" s="41"/>
      <c r="E409" s="41"/>
      <c r="F409" s="41"/>
    </row>
    <row r="410" spans="3:6" ht="15.75" customHeight="1" x14ac:dyDescent="0.25">
      <c r="C410" s="41"/>
      <c r="E410" s="41"/>
      <c r="F410" s="41"/>
    </row>
    <row r="411" spans="3:6" ht="15.75" customHeight="1" x14ac:dyDescent="0.25">
      <c r="C411" s="41"/>
      <c r="E411" s="41"/>
      <c r="F411" s="41"/>
    </row>
    <row r="412" spans="3:6" ht="15.75" customHeight="1" x14ac:dyDescent="0.25">
      <c r="C412" s="41"/>
      <c r="E412" s="41"/>
      <c r="F412" s="41"/>
    </row>
    <row r="413" spans="3:6" ht="15.75" customHeight="1" x14ac:dyDescent="0.25">
      <c r="C413" s="41"/>
      <c r="E413" s="41"/>
      <c r="F413" s="41"/>
    </row>
    <row r="414" spans="3:6" ht="15.75" customHeight="1" x14ac:dyDescent="0.25">
      <c r="C414" s="41"/>
      <c r="E414" s="41"/>
      <c r="F414" s="41"/>
    </row>
    <row r="415" spans="3:6" ht="15.75" customHeight="1" x14ac:dyDescent="0.25">
      <c r="C415" s="41"/>
      <c r="E415" s="41"/>
      <c r="F415" s="41"/>
    </row>
    <row r="416" spans="3:6" ht="15.75" customHeight="1" x14ac:dyDescent="0.25">
      <c r="C416" s="41"/>
      <c r="E416" s="41"/>
      <c r="F416" s="41"/>
    </row>
    <row r="417" spans="3:6" ht="15.75" customHeight="1" x14ac:dyDescent="0.25">
      <c r="C417" s="41"/>
      <c r="E417" s="41"/>
      <c r="F417" s="41"/>
    </row>
    <row r="418" spans="3:6" ht="15.75" customHeight="1" x14ac:dyDescent="0.25">
      <c r="C418" s="41"/>
      <c r="E418" s="41"/>
      <c r="F418" s="41"/>
    </row>
    <row r="419" spans="3:6" ht="15.75" customHeight="1" x14ac:dyDescent="0.25">
      <c r="C419" s="41"/>
      <c r="E419" s="41"/>
      <c r="F419" s="41"/>
    </row>
    <row r="420" spans="3:6" ht="15.75" customHeight="1" x14ac:dyDescent="0.25">
      <c r="C420" s="41"/>
      <c r="E420" s="41"/>
      <c r="F420" s="41"/>
    </row>
    <row r="421" spans="3:6" ht="15.75" customHeight="1" x14ac:dyDescent="0.25">
      <c r="C421" s="41"/>
      <c r="E421" s="41"/>
      <c r="F421" s="41"/>
    </row>
    <row r="422" spans="3:6" ht="15.75" customHeight="1" x14ac:dyDescent="0.25">
      <c r="C422" s="41"/>
      <c r="E422" s="41"/>
      <c r="F422" s="41"/>
    </row>
    <row r="423" spans="3:6" ht="15.75" customHeight="1" x14ac:dyDescent="0.25">
      <c r="C423" s="41"/>
      <c r="E423" s="41"/>
      <c r="F423" s="41"/>
    </row>
    <row r="424" spans="3:6" ht="15.75" customHeight="1" x14ac:dyDescent="0.25">
      <c r="C424" s="41"/>
      <c r="E424" s="41"/>
      <c r="F424" s="41"/>
    </row>
    <row r="425" spans="3:6" ht="15.75" customHeight="1" x14ac:dyDescent="0.25">
      <c r="C425" s="41"/>
      <c r="E425" s="41"/>
      <c r="F425" s="41"/>
    </row>
    <row r="426" spans="3:6" ht="15.75" customHeight="1" x14ac:dyDescent="0.25">
      <c r="C426" s="41"/>
      <c r="E426" s="41"/>
      <c r="F426" s="41"/>
    </row>
    <row r="427" spans="3:6" ht="15.75" customHeight="1" x14ac:dyDescent="0.25">
      <c r="C427" s="41"/>
      <c r="E427" s="41"/>
      <c r="F427" s="41"/>
    </row>
    <row r="428" spans="3:6" ht="15.75" customHeight="1" x14ac:dyDescent="0.25">
      <c r="C428" s="41"/>
      <c r="E428" s="41"/>
      <c r="F428" s="41"/>
    </row>
    <row r="429" spans="3:6" ht="15.75" customHeight="1" x14ac:dyDescent="0.25">
      <c r="C429" s="41"/>
      <c r="E429" s="41"/>
      <c r="F429" s="41"/>
    </row>
    <row r="430" spans="3:6" ht="15.75" customHeight="1" x14ac:dyDescent="0.25">
      <c r="C430" s="41"/>
      <c r="E430" s="41"/>
      <c r="F430" s="41"/>
    </row>
    <row r="431" spans="3:6" ht="15.75" customHeight="1" x14ac:dyDescent="0.25">
      <c r="C431" s="41"/>
      <c r="E431" s="41"/>
      <c r="F431" s="41"/>
    </row>
    <row r="432" spans="3:6" ht="15.75" customHeight="1" x14ac:dyDescent="0.25">
      <c r="C432" s="41"/>
      <c r="E432" s="41"/>
      <c r="F432" s="41"/>
    </row>
    <row r="433" spans="3:6" ht="15.75" customHeight="1" x14ac:dyDescent="0.25">
      <c r="C433" s="41"/>
      <c r="E433" s="41"/>
      <c r="F433" s="41"/>
    </row>
    <row r="434" spans="3:6" ht="15.75" customHeight="1" x14ac:dyDescent="0.25">
      <c r="C434" s="41"/>
      <c r="E434" s="41"/>
      <c r="F434" s="41"/>
    </row>
    <row r="435" spans="3:6" ht="15.75" customHeight="1" x14ac:dyDescent="0.25">
      <c r="C435" s="41"/>
      <c r="E435" s="41"/>
      <c r="F435" s="41"/>
    </row>
    <row r="436" spans="3:6" ht="15.75" customHeight="1" x14ac:dyDescent="0.25">
      <c r="C436" s="41"/>
      <c r="E436" s="41"/>
      <c r="F436" s="41"/>
    </row>
    <row r="437" spans="3:6" ht="15.75" customHeight="1" x14ac:dyDescent="0.25">
      <c r="C437" s="41"/>
      <c r="E437" s="41"/>
      <c r="F437" s="41"/>
    </row>
    <row r="438" spans="3:6" ht="15.75" customHeight="1" x14ac:dyDescent="0.25">
      <c r="C438" s="41"/>
      <c r="E438" s="41"/>
      <c r="F438" s="41"/>
    </row>
    <row r="439" spans="3:6" ht="15.75" customHeight="1" x14ac:dyDescent="0.25">
      <c r="C439" s="41"/>
      <c r="E439" s="41"/>
      <c r="F439" s="41"/>
    </row>
    <row r="440" spans="3:6" ht="15.75" customHeight="1" x14ac:dyDescent="0.25">
      <c r="C440" s="41"/>
      <c r="E440" s="41"/>
      <c r="F440" s="41"/>
    </row>
    <row r="441" spans="3:6" ht="15.75" customHeight="1" x14ac:dyDescent="0.25">
      <c r="C441" s="41"/>
      <c r="E441" s="41"/>
      <c r="F441" s="41"/>
    </row>
    <row r="442" spans="3:6" ht="15.75" customHeight="1" x14ac:dyDescent="0.25">
      <c r="C442" s="41"/>
      <c r="E442" s="41"/>
      <c r="F442" s="41"/>
    </row>
    <row r="443" spans="3:6" ht="15.75" customHeight="1" x14ac:dyDescent="0.25">
      <c r="C443" s="41"/>
      <c r="E443" s="41"/>
      <c r="F443" s="41"/>
    </row>
    <row r="444" spans="3:6" ht="15.75" customHeight="1" x14ac:dyDescent="0.25">
      <c r="C444" s="41"/>
      <c r="E444" s="41"/>
      <c r="F444" s="41"/>
    </row>
    <row r="445" spans="3:6" ht="15.75" customHeight="1" x14ac:dyDescent="0.25">
      <c r="C445" s="41"/>
      <c r="E445" s="41"/>
      <c r="F445" s="41"/>
    </row>
    <row r="446" spans="3:6" ht="15.75" customHeight="1" x14ac:dyDescent="0.25">
      <c r="C446" s="41"/>
      <c r="E446" s="41"/>
      <c r="F446" s="41"/>
    </row>
    <row r="447" spans="3:6" ht="15.75" customHeight="1" x14ac:dyDescent="0.25">
      <c r="C447" s="41"/>
      <c r="E447" s="41"/>
      <c r="F447" s="41"/>
    </row>
    <row r="448" spans="3:6" ht="15.75" customHeight="1" x14ac:dyDescent="0.25">
      <c r="C448" s="41"/>
      <c r="E448" s="41"/>
      <c r="F448" s="41"/>
    </row>
    <row r="449" spans="3:6" ht="15.75" customHeight="1" x14ac:dyDescent="0.25">
      <c r="C449" s="41"/>
      <c r="E449" s="41"/>
      <c r="F449" s="41"/>
    </row>
    <row r="450" spans="3:6" ht="15.75" customHeight="1" x14ac:dyDescent="0.25">
      <c r="C450" s="41"/>
      <c r="E450" s="41"/>
      <c r="F450" s="41"/>
    </row>
    <row r="451" spans="3:6" ht="15.75" customHeight="1" x14ac:dyDescent="0.25">
      <c r="C451" s="41"/>
      <c r="E451" s="41"/>
      <c r="F451" s="41"/>
    </row>
    <row r="452" spans="3:6" ht="15.75" customHeight="1" x14ac:dyDescent="0.25">
      <c r="C452" s="41"/>
      <c r="E452" s="41"/>
      <c r="F452" s="41"/>
    </row>
    <row r="453" spans="3:6" ht="15.75" customHeight="1" x14ac:dyDescent="0.25">
      <c r="C453" s="41"/>
      <c r="E453" s="41"/>
      <c r="F453" s="41"/>
    </row>
    <row r="454" spans="3:6" ht="15.75" customHeight="1" x14ac:dyDescent="0.25">
      <c r="C454" s="41"/>
      <c r="E454" s="41"/>
      <c r="F454" s="41"/>
    </row>
    <row r="455" spans="3:6" ht="15.75" customHeight="1" x14ac:dyDescent="0.25">
      <c r="C455" s="41"/>
      <c r="E455" s="41"/>
      <c r="F455" s="41"/>
    </row>
    <row r="456" spans="3:6" ht="15.75" customHeight="1" x14ac:dyDescent="0.25">
      <c r="C456" s="41"/>
      <c r="E456" s="41"/>
      <c r="F456" s="41"/>
    </row>
    <row r="457" spans="3:6" ht="15.75" customHeight="1" x14ac:dyDescent="0.25">
      <c r="C457" s="41"/>
      <c r="E457" s="41"/>
      <c r="F457" s="41"/>
    </row>
    <row r="458" spans="3:6" ht="15.75" customHeight="1" x14ac:dyDescent="0.25">
      <c r="C458" s="41"/>
      <c r="E458" s="41"/>
      <c r="F458" s="41"/>
    </row>
    <row r="459" spans="3:6" ht="15.75" customHeight="1" x14ac:dyDescent="0.25">
      <c r="C459" s="41"/>
      <c r="E459" s="41"/>
      <c r="F459" s="41"/>
    </row>
    <row r="460" spans="3:6" ht="15.75" customHeight="1" x14ac:dyDescent="0.25">
      <c r="C460" s="41"/>
      <c r="E460" s="41"/>
      <c r="F460" s="41"/>
    </row>
    <row r="461" spans="3:6" ht="15.75" customHeight="1" x14ac:dyDescent="0.25">
      <c r="C461" s="41"/>
      <c r="E461" s="41"/>
      <c r="F461" s="41"/>
    </row>
    <row r="462" spans="3:6" ht="15.75" customHeight="1" x14ac:dyDescent="0.25">
      <c r="C462" s="41"/>
      <c r="E462" s="41"/>
      <c r="F462" s="41"/>
    </row>
    <row r="463" spans="3:6" ht="15.75" customHeight="1" x14ac:dyDescent="0.25">
      <c r="C463" s="41"/>
      <c r="E463" s="41"/>
      <c r="F463" s="41"/>
    </row>
    <row r="464" spans="3:6" ht="15.75" customHeight="1" x14ac:dyDescent="0.25">
      <c r="C464" s="41"/>
      <c r="E464" s="41"/>
      <c r="F464" s="41"/>
    </row>
    <row r="465" spans="3:6" ht="15.75" customHeight="1" x14ac:dyDescent="0.25">
      <c r="C465" s="41"/>
      <c r="E465" s="41"/>
      <c r="F465" s="41"/>
    </row>
    <row r="466" spans="3:6" ht="15.75" customHeight="1" x14ac:dyDescent="0.25">
      <c r="C466" s="41"/>
      <c r="E466" s="41"/>
      <c r="F466" s="41"/>
    </row>
    <row r="467" spans="3:6" ht="15.75" customHeight="1" x14ac:dyDescent="0.25">
      <c r="C467" s="41"/>
      <c r="E467" s="41"/>
      <c r="F467" s="41"/>
    </row>
    <row r="468" spans="3:6" ht="15.75" customHeight="1" x14ac:dyDescent="0.25">
      <c r="C468" s="41"/>
      <c r="E468" s="41"/>
      <c r="F468" s="41"/>
    </row>
    <row r="469" spans="3:6" ht="15.75" customHeight="1" x14ac:dyDescent="0.25">
      <c r="C469" s="41"/>
      <c r="E469" s="41"/>
      <c r="F469" s="41"/>
    </row>
    <row r="470" spans="3:6" ht="15.75" customHeight="1" x14ac:dyDescent="0.25">
      <c r="C470" s="41"/>
      <c r="E470" s="41"/>
      <c r="F470" s="41"/>
    </row>
    <row r="471" spans="3:6" ht="15.75" customHeight="1" x14ac:dyDescent="0.25">
      <c r="C471" s="41"/>
      <c r="E471" s="41"/>
      <c r="F471" s="41"/>
    </row>
    <row r="472" spans="3:6" ht="15.75" customHeight="1" x14ac:dyDescent="0.25">
      <c r="C472" s="41"/>
      <c r="E472" s="41"/>
      <c r="F472" s="41"/>
    </row>
    <row r="473" spans="3:6" ht="15.75" customHeight="1" x14ac:dyDescent="0.25">
      <c r="C473" s="41"/>
      <c r="E473" s="41"/>
      <c r="F473" s="41"/>
    </row>
    <row r="474" spans="3:6" ht="15.75" customHeight="1" x14ac:dyDescent="0.25">
      <c r="C474" s="41"/>
      <c r="E474" s="41"/>
      <c r="F474" s="41"/>
    </row>
    <row r="475" spans="3:6" ht="15.75" customHeight="1" x14ac:dyDescent="0.25">
      <c r="C475" s="41"/>
      <c r="E475" s="41"/>
      <c r="F475" s="41"/>
    </row>
    <row r="476" spans="3:6" ht="15.75" customHeight="1" x14ac:dyDescent="0.25">
      <c r="C476" s="41"/>
      <c r="E476" s="41"/>
      <c r="F476" s="41"/>
    </row>
    <row r="477" spans="3:6" ht="15.75" customHeight="1" x14ac:dyDescent="0.25">
      <c r="C477" s="41"/>
      <c r="E477" s="41"/>
      <c r="F477" s="41"/>
    </row>
    <row r="478" spans="3:6" ht="15.75" customHeight="1" x14ac:dyDescent="0.25">
      <c r="C478" s="41"/>
      <c r="E478" s="41"/>
      <c r="F478" s="41"/>
    </row>
    <row r="479" spans="3:6" ht="15.75" customHeight="1" x14ac:dyDescent="0.25">
      <c r="C479" s="41"/>
      <c r="E479" s="41"/>
      <c r="F479" s="41"/>
    </row>
    <row r="480" spans="3:6" ht="15.75" customHeight="1" x14ac:dyDescent="0.25">
      <c r="C480" s="41"/>
      <c r="E480" s="41"/>
      <c r="F480" s="41"/>
    </row>
    <row r="481" spans="3:6" ht="15.75" customHeight="1" x14ac:dyDescent="0.25">
      <c r="C481" s="41"/>
      <c r="E481" s="41"/>
      <c r="F481" s="41"/>
    </row>
    <row r="482" spans="3:6" ht="15.75" customHeight="1" x14ac:dyDescent="0.25">
      <c r="C482" s="41"/>
      <c r="E482" s="41"/>
      <c r="F482" s="41"/>
    </row>
    <row r="483" spans="3:6" ht="15.75" customHeight="1" x14ac:dyDescent="0.25">
      <c r="C483" s="41"/>
      <c r="E483" s="41"/>
      <c r="F483" s="41"/>
    </row>
    <row r="484" spans="3:6" ht="15.75" customHeight="1" x14ac:dyDescent="0.25">
      <c r="C484" s="41"/>
      <c r="E484" s="41"/>
      <c r="F484" s="41"/>
    </row>
    <row r="485" spans="3:6" ht="15.75" customHeight="1" x14ac:dyDescent="0.25">
      <c r="C485" s="41"/>
      <c r="E485" s="41"/>
      <c r="F485" s="41"/>
    </row>
    <row r="486" spans="3:6" ht="15.75" customHeight="1" x14ac:dyDescent="0.25">
      <c r="C486" s="41"/>
      <c r="E486" s="41"/>
      <c r="F486" s="41"/>
    </row>
    <row r="487" spans="3:6" ht="15.75" customHeight="1" x14ac:dyDescent="0.25">
      <c r="C487" s="41"/>
      <c r="E487" s="41"/>
      <c r="F487" s="41"/>
    </row>
    <row r="488" spans="3:6" ht="15.75" customHeight="1" x14ac:dyDescent="0.25">
      <c r="C488" s="41"/>
      <c r="E488" s="41"/>
      <c r="F488" s="41"/>
    </row>
    <row r="489" spans="3:6" ht="15.75" customHeight="1" x14ac:dyDescent="0.25">
      <c r="C489" s="41"/>
      <c r="E489" s="41"/>
      <c r="F489" s="41"/>
    </row>
    <row r="490" spans="3:6" ht="15.75" customHeight="1" x14ac:dyDescent="0.25">
      <c r="C490" s="41"/>
      <c r="E490" s="41"/>
      <c r="F490" s="41"/>
    </row>
    <row r="491" spans="3:6" ht="15.75" customHeight="1" x14ac:dyDescent="0.25">
      <c r="C491" s="41"/>
      <c r="E491" s="41"/>
      <c r="F491" s="41"/>
    </row>
    <row r="492" spans="3:6" ht="15.75" customHeight="1" x14ac:dyDescent="0.25">
      <c r="C492" s="41"/>
      <c r="E492" s="41"/>
      <c r="F492" s="41"/>
    </row>
    <row r="493" spans="3:6" ht="15.75" customHeight="1" x14ac:dyDescent="0.25">
      <c r="C493" s="41"/>
      <c r="E493" s="41"/>
      <c r="F493" s="41"/>
    </row>
    <row r="494" spans="3:6" ht="15.75" customHeight="1" x14ac:dyDescent="0.25">
      <c r="C494" s="41"/>
      <c r="E494" s="41"/>
      <c r="F494" s="41"/>
    </row>
    <row r="495" spans="3:6" ht="15.75" customHeight="1" x14ac:dyDescent="0.25">
      <c r="C495" s="41"/>
      <c r="E495" s="41"/>
      <c r="F495" s="41"/>
    </row>
    <row r="496" spans="3:6" ht="15.75" customHeight="1" x14ac:dyDescent="0.25">
      <c r="C496" s="41"/>
      <c r="E496" s="41"/>
      <c r="F496" s="41"/>
    </row>
    <row r="497" spans="3:6" ht="15.75" customHeight="1" x14ac:dyDescent="0.25">
      <c r="C497" s="41"/>
      <c r="E497" s="41"/>
      <c r="F497" s="41"/>
    </row>
    <row r="498" spans="3:6" ht="15.75" customHeight="1" x14ac:dyDescent="0.25">
      <c r="C498" s="41"/>
      <c r="E498" s="41"/>
      <c r="F498" s="41"/>
    </row>
    <row r="499" spans="3:6" ht="15.75" customHeight="1" x14ac:dyDescent="0.25">
      <c r="C499" s="41"/>
      <c r="E499" s="41"/>
      <c r="F499" s="41"/>
    </row>
    <row r="500" spans="3:6" ht="15.75" customHeight="1" x14ac:dyDescent="0.25">
      <c r="C500" s="41"/>
      <c r="E500" s="41"/>
      <c r="F500" s="41"/>
    </row>
    <row r="501" spans="3:6" ht="15.75" customHeight="1" x14ac:dyDescent="0.25">
      <c r="C501" s="41"/>
      <c r="E501" s="41"/>
      <c r="F501" s="41"/>
    </row>
    <row r="502" spans="3:6" ht="15.75" customHeight="1" x14ac:dyDescent="0.25">
      <c r="C502" s="41"/>
      <c r="E502" s="41"/>
      <c r="F502" s="41"/>
    </row>
    <row r="503" spans="3:6" ht="15.75" customHeight="1" x14ac:dyDescent="0.25">
      <c r="C503" s="41"/>
      <c r="E503" s="41"/>
      <c r="F503" s="41"/>
    </row>
    <row r="504" spans="3:6" ht="15.75" customHeight="1" x14ac:dyDescent="0.25">
      <c r="C504" s="41"/>
      <c r="E504" s="41"/>
      <c r="F504" s="41"/>
    </row>
    <row r="505" spans="3:6" ht="15.75" customHeight="1" x14ac:dyDescent="0.25">
      <c r="C505" s="41"/>
      <c r="E505" s="41"/>
      <c r="F505" s="41"/>
    </row>
    <row r="506" spans="3:6" ht="15.75" customHeight="1" x14ac:dyDescent="0.25">
      <c r="C506" s="41"/>
      <c r="E506" s="41"/>
      <c r="F506" s="41"/>
    </row>
    <row r="507" spans="3:6" ht="15.75" customHeight="1" x14ac:dyDescent="0.25">
      <c r="C507" s="41"/>
      <c r="E507" s="41"/>
      <c r="F507" s="41"/>
    </row>
    <row r="508" spans="3:6" ht="15.75" customHeight="1" x14ac:dyDescent="0.25">
      <c r="C508" s="41"/>
      <c r="E508" s="41"/>
      <c r="F508" s="41"/>
    </row>
    <row r="509" spans="3:6" ht="15.75" customHeight="1" x14ac:dyDescent="0.25">
      <c r="C509" s="41"/>
      <c r="E509" s="41"/>
      <c r="F509" s="41"/>
    </row>
    <row r="510" spans="3:6" ht="15.75" customHeight="1" x14ac:dyDescent="0.25">
      <c r="C510" s="41"/>
      <c r="E510" s="41"/>
      <c r="F510" s="41"/>
    </row>
    <row r="511" spans="3:6" ht="15.75" customHeight="1" x14ac:dyDescent="0.25">
      <c r="C511" s="41"/>
      <c r="E511" s="41"/>
      <c r="F511" s="41"/>
    </row>
    <row r="512" spans="3:6" ht="15.75" customHeight="1" x14ac:dyDescent="0.25">
      <c r="C512" s="41"/>
      <c r="E512" s="41"/>
      <c r="F512" s="41"/>
    </row>
    <row r="513" spans="3:6" ht="15.75" customHeight="1" x14ac:dyDescent="0.25">
      <c r="C513" s="41"/>
      <c r="E513" s="41"/>
      <c r="F513" s="41"/>
    </row>
    <row r="514" spans="3:6" ht="15.75" customHeight="1" x14ac:dyDescent="0.25">
      <c r="C514" s="41"/>
      <c r="E514" s="41"/>
      <c r="F514" s="41"/>
    </row>
    <row r="515" spans="3:6" ht="15.75" customHeight="1" x14ac:dyDescent="0.25">
      <c r="C515" s="41"/>
      <c r="E515" s="41"/>
      <c r="F515" s="41"/>
    </row>
    <row r="516" spans="3:6" ht="15.75" customHeight="1" x14ac:dyDescent="0.25">
      <c r="C516" s="41"/>
      <c r="E516" s="41"/>
      <c r="F516" s="41"/>
    </row>
    <row r="517" spans="3:6" ht="15.75" customHeight="1" x14ac:dyDescent="0.25">
      <c r="C517" s="41"/>
      <c r="E517" s="41"/>
      <c r="F517" s="41"/>
    </row>
    <row r="518" spans="3:6" ht="15.75" customHeight="1" x14ac:dyDescent="0.25">
      <c r="C518" s="41"/>
      <c r="E518" s="41"/>
      <c r="F518" s="41"/>
    </row>
    <row r="519" spans="3:6" ht="15.75" customHeight="1" x14ac:dyDescent="0.25">
      <c r="C519" s="41"/>
      <c r="E519" s="41"/>
      <c r="F519" s="41"/>
    </row>
    <row r="520" spans="3:6" ht="15.75" customHeight="1" x14ac:dyDescent="0.25">
      <c r="C520" s="41"/>
      <c r="E520" s="41"/>
      <c r="F520" s="41"/>
    </row>
    <row r="521" spans="3:6" ht="15.75" customHeight="1" x14ac:dyDescent="0.25">
      <c r="C521" s="41"/>
      <c r="E521" s="41"/>
      <c r="F521" s="41"/>
    </row>
    <row r="522" spans="3:6" ht="15.75" customHeight="1" x14ac:dyDescent="0.25">
      <c r="C522" s="41"/>
      <c r="E522" s="41"/>
      <c r="F522" s="41"/>
    </row>
    <row r="523" spans="3:6" ht="15.75" customHeight="1" x14ac:dyDescent="0.25">
      <c r="C523" s="41"/>
      <c r="E523" s="41"/>
      <c r="F523" s="41"/>
    </row>
    <row r="524" spans="3:6" ht="15.75" customHeight="1" x14ac:dyDescent="0.25">
      <c r="C524" s="41"/>
      <c r="E524" s="41"/>
      <c r="F524" s="41"/>
    </row>
    <row r="525" spans="3:6" ht="15.75" customHeight="1" x14ac:dyDescent="0.25">
      <c r="C525" s="41"/>
      <c r="E525" s="41"/>
      <c r="F525" s="41"/>
    </row>
    <row r="526" spans="3:6" ht="15.75" customHeight="1" x14ac:dyDescent="0.25">
      <c r="C526" s="41"/>
      <c r="E526" s="41"/>
      <c r="F526" s="41"/>
    </row>
    <row r="527" spans="3:6" ht="15.75" customHeight="1" x14ac:dyDescent="0.25">
      <c r="C527" s="41"/>
      <c r="E527" s="41"/>
      <c r="F527" s="41"/>
    </row>
    <row r="528" spans="3:6" ht="15.75" customHeight="1" x14ac:dyDescent="0.25">
      <c r="C528" s="41"/>
      <c r="E528" s="41"/>
      <c r="F528" s="41"/>
    </row>
    <row r="529" spans="3:6" ht="15.75" customHeight="1" x14ac:dyDescent="0.25">
      <c r="C529" s="41"/>
      <c r="E529" s="41"/>
      <c r="F529" s="41"/>
    </row>
    <row r="530" spans="3:6" ht="15.75" customHeight="1" x14ac:dyDescent="0.25">
      <c r="C530" s="41"/>
      <c r="E530" s="41"/>
      <c r="F530" s="41"/>
    </row>
    <row r="531" spans="3:6" ht="15.75" customHeight="1" x14ac:dyDescent="0.25">
      <c r="C531" s="41"/>
      <c r="E531" s="41"/>
      <c r="F531" s="41"/>
    </row>
    <row r="532" spans="3:6" ht="15.75" customHeight="1" x14ac:dyDescent="0.25">
      <c r="C532" s="41"/>
      <c r="E532" s="41"/>
      <c r="F532" s="41"/>
    </row>
    <row r="533" spans="3:6" ht="15.75" customHeight="1" x14ac:dyDescent="0.25">
      <c r="C533" s="41"/>
      <c r="E533" s="41"/>
      <c r="F533" s="41"/>
    </row>
    <row r="534" spans="3:6" ht="15.75" customHeight="1" x14ac:dyDescent="0.25">
      <c r="C534" s="41"/>
      <c r="E534" s="41"/>
      <c r="F534" s="41"/>
    </row>
    <row r="535" spans="3:6" ht="15.75" customHeight="1" x14ac:dyDescent="0.25">
      <c r="C535" s="41"/>
      <c r="E535" s="41"/>
      <c r="F535" s="41"/>
    </row>
    <row r="536" spans="3:6" ht="15.75" customHeight="1" x14ac:dyDescent="0.25">
      <c r="C536" s="41"/>
      <c r="E536" s="41"/>
      <c r="F536" s="41"/>
    </row>
    <row r="537" spans="3:6" ht="15.75" customHeight="1" x14ac:dyDescent="0.25">
      <c r="C537" s="41"/>
      <c r="E537" s="41"/>
      <c r="F537" s="41"/>
    </row>
    <row r="538" spans="3:6" ht="15.75" customHeight="1" x14ac:dyDescent="0.25">
      <c r="C538" s="41"/>
      <c r="E538" s="41"/>
      <c r="F538" s="41"/>
    </row>
    <row r="539" spans="3:6" ht="15.75" customHeight="1" x14ac:dyDescent="0.25">
      <c r="C539" s="41"/>
      <c r="E539" s="41"/>
      <c r="F539" s="41"/>
    </row>
    <row r="540" spans="3:6" ht="15.75" customHeight="1" x14ac:dyDescent="0.25">
      <c r="C540" s="41"/>
      <c r="E540" s="41"/>
      <c r="F540" s="41"/>
    </row>
    <row r="541" spans="3:6" ht="15.75" customHeight="1" x14ac:dyDescent="0.25">
      <c r="C541" s="41"/>
      <c r="E541" s="41"/>
      <c r="F541" s="41"/>
    </row>
    <row r="542" spans="3:6" ht="15.75" customHeight="1" x14ac:dyDescent="0.25">
      <c r="C542" s="41"/>
      <c r="E542" s="41"/>
      <c r="F542" s="41"/>
    </row>
    <row r="543" spans="3:6" ht="15.75" customHeight="1" x14ac:dyDescent="0.25">
      <c r="C543" s="41"/>
      <c r="E543" s="41"/>
      <c r="F543" s="41"/>
    </row>
    <row r="544" spans="3:6" ht="15.75" customHeight="1" x14ac:dyDescent="0.25">
      <c r="C544" s="41"/>
      <c r="E544" s="41"/>
      <c r="F544" s="41"/>
    </row>
    <row r="545" spans="3:6" ht="15.75" customHeight="1" x14ac:dyDescent="0.25">
      <c r="C545" s="41"/>
      <c r="E545" s="41"/>
      <c r="F545" s="41"/>
    </row>
    <row r="546" spans="3:6" ht="15.75" customHeight="1" x14ac:dyDescent="0.25">
      <c r="C546" s="41"/>
      <c r="E546" s="41"/>
      <c r="F546" s="41"/>
    </row>
    <row r="547" spans="3:6" ht="15.75" customHeight="1" x14ac:dyDescent="0.25">
      <c r="C547" s="41"/>
      <c r="E547" s="41"/>
      <c r="F547" s="41"/>
    </row>
    <row r="548" spans="3:6" ht="15.75" customHeight="1" x14ac:dyDescent="0.25">
      <c r="C548" s="41"/>
      <c r="E548" s="41"/>
      <c r="F548" s="41"/>
    </row>
    <row r="549" spans="3:6" ht="15.75" customHeight="1" x14ac:dyDescent="0.25">
      <c r="C549" s="41"/>
      <c r="E549" s="41"/>
      <c r="F549" s="41"/>
    </row>
    <row r="550" spans="3:6" ht="15.75" customHeight="1" x14ac:dyDescent="0.25">
      <c r="C550" s="41"/>
      <c r="E550" s="41"/>
      <c r="F550" s="41"/>
    </row>
    <row r="551" spans="3:6" ht="15.75" customHeight="1" x14ac:dyDescent="0.25">
      <c r="C551" s="41"/>
      <c r="E551" s="41"/>
      <c r="F551" s="41"/>
    </row>
    <row r="552" spans="3:6" ht="15.75" customHeight="1" x14ac:dyDescent="0.25">
      <c r="C552" s="41"/>
      <c r="E552" s="41"/>
      <c r="F552" s="41"/>
    </row>
    <row r="553" spans="3:6" ht="15.75" customHeight="1" x14ac:dyDescent="0.25">
      <c r="C553" s="41"/>
      <c r="E553" s="41"/>
      <c r="F553" s="41"/>
    </row>
    <row r="554" spans="3:6" ht="15.75" customHeight="1" x14ac:dyDescent="0.25">
      <c r="C554" s="41"/>
      <c r="E554" s="41"/>
      <c r="F554" s="41"/>
    </row>
    <row r="555" spans="3:6" ht="15.75" customHeight="1" x14ac:dyDescent="0.25">
      <c r="C555" s="41"/>
      <c r="E555" s="41"/>
      <c r="F555" s="41"/>
    </row>
    <row r="556" spans="3:6" ht="15.75" customHeight="1" x14ac:dyDescent="0.25">
      <c r="C556" s="41"/>
      <c r="E556" s="41"/>
      <c r="F556" s="41"/>
    </row>
    <row r="557" spans="3:6" ht="15.75" customHeight="1" x14ac:dyDescent="0.25">
      <c r="C557" s="41"/>
      <c r="E557" s="41"/>
      <c r="F557" s="41"/>
    </row>
    <row r="558" spans="3:6" ht="15.75" customHeight="1" x14ac:dyDescent="0.25">
      <c r="C558" s="41"/>
      <c r="E558" s="41"/>
      <c r="F558" s="41"/>
    </row>
    <row r="559" spans="3:6" ht="15.75" customHeight="1" x14ac:dyDescent="0.25">
      <c r="C559" s="41"/>
      <c r="E559" s="41"/>
      <c r="F559" s="41"/>
    </row>
    <row r="560" spans="3:6" ht="15.75" customHeight="1" x14ac:dyDescent="0.25">
      <c r="C560" s="41"/>
      <c r="E560" s="41"/>
      <c r="F560" s="41"/>
    </row>
    <row r="561" spans="3:6" ht="15.75" customHeight="1" x14ac:dyDescent="0.25">
      <c r="C561" s="41"/>
      <c r="E561" s="41"/>
      <c r="F561" s="41"/>
    </row>
    <row r="562" spans="3:6" ht="15.75" customHeight="1" x14ac:dyDescent="0.25">
      <c r="C562" s="41"/>
      <c r="E562" s="41"/>
      <c r="F562" s="41"/>
    </row>
    <row r="563" spans="3:6" ht="15.75" customHeight="1" x14ac:dyDescent="0.25">
      <c r="C563" s="41"/>
      <c r="E563" s="41"/>
      <c r="F563" s="41"/>
    </row>
    <row r="564" spans="3:6" ht="15.75" customHeight="1" x14ac:dyDescent="0.25">
      <c r="C564" s="41"/>
      <c r="E564" s="41"/>
      <c r="F564" s="41"/>
    </row>
    <row r="565" spans="3:6" ht="15.75" customHeight="1" x14ac:dyDescent="0.25">
      <c r="C565" s="41"/>
      <c r="E565" s="41"/>
      <c r="F565" s="41"/>
    </row>
    <row r="566" spans="3:6" ht="15.75" customHeight="1" x14ac:dyDescent="0.25">
      <c r="C566" s="41"/>
      <c r="E566" s="41"/>
      <c r="F566" s="41"/>
    </row>
    <row r="567" spans="3:6" ht="15.75" customHeight="1" x14ac:dyDescent="0.25">
      <c r="C567" s="41"/>
      <c r="E567" s="41"/>
      <c r="F567" s="41"/>
    </row>
    <row r="568" spans="3:6" ht="15.75" customHeight="1" x14ac:dyDescent="0.25">
      <c r="C568" s="41"/>
      <c r="E568" s="41"/>
      <c r="F568" s="41"/>
    </row>
    <row r="569" spans="3:6" ht="15.75" customHeight="1" x14ac:dyDescent="0.25">
      <c r="C569" s="41"/>
      <c r="E569" s="41"/>
      <c r="F569" s="41"/>
    </row>
    <row r="570" spans="3:6" ht="15.75" customHeight="1" x14ac:dyDescent="0.25">
      <c r="C570" s="41"/>
      <c r="E570" s="41"/>
      <c r="F570" s="41"/>
    </row>
    <row r="571" spans="3:6" ht="15.75" customHeight="1" x14ac:dyDescent="0.25">
      <c r="C571" s="41"/>
      <c r="E571" s="41"/>
      <c r="F571" s="41"/>
    </row>
    <row r="572" spans="3:6" ht="15.75" customHeight="1" x14ac:dyDescent="0.25">
      <c r="C572" s="41"/>
      <c r="E572" s="41"/>
      <c r="F572" s="41"/>
    </row>
    <row r="573" spans="3:6" ht="15.75" customHeight="1" x14ac:dyDescent="0.25">
      <c r="C573" s="41"/>
      <c r="E573" s="41"/>
      <c r="F573" s="41"/>
    </row>
    <row r="574" spans="3:6" ht="15.75" customHeight="1" x14ac:dyDescent="0.25">
      <c r="C574" s="41"/>
      <c r="E574" s="41"/>
      <c r="F574" s="41"/>
    </row>
    <row r="575" spans="3:6" ht="15.75" customHeight="1" x14ac:dyDescent="0.25">
      <c r="C575" s="41"/>
      <c r="E575" s="41"/>
      <c r="F575" s="41"/>
    </row>
    <row r="576" spans="3:6" ht="15.75" customHeight="1" x14ac:dyDescent="0.25">
      <c r="C576" s="41"/>
      <c r="E576" s="41"/>
      <c r="F576" s="41"/>
    </row>
    <row r="577" spans="3:6" ht="15.75" customHeight="1" x14ac:dyDescent="0.25">
      <c r="C577" s="41"/>
      <c r="E577" s="41"/>
      <c r="F577" s="41"/>
    </row>
    <row r="578" spans="3:6" ht="15.75" customHeight="1" x14ac:dyDescent="0.25">
      <c r="C578" s="41"/>
      <c r="E578" s="41"/>
      <c r="F578" s="41"/>
    </row>
    <row r="579" spans="3:6" ht="15.75" customHeight="1" x14ac:dyDescent="0.25">
      <c r="C579" s="41"/>
      <c r="E579" s="41"/>
      <c r="F579" s="41"/>
    </row>
    <row r="580" spans="3:6" ht="15.75" customHeight="1" x14ac:dyDescent="0.25">
      <c r="C580" s="41"/>
      <c r="E580" s="41"/>
      <c r="F580" s="41"/>
    </row>
    <row r="581" spans="3:6" ht="15.75" customHeight="1" x14ac:dyDescent="0.25">
      <c r="C581" s="41"/>
      <c r="E581" s="41"/>
      <c r="F581" s="41"/>
    </row>
    <row r="582" spans="3:6" ht="15.75" customHeight="1" x14ac:dyDescent="0.25">
      <c r="C582" s="41"/>
      <c r="E582" s="41"/>
      <c r="F582" s="41"/>
    </row>
    <row r="583" spans="3:6" ht="15.75" customHeight="1" x14ac:dyDescent="0.25">
      <c r="C583" s="41"/>
      <c r="E583" s="41"/>
      <c r="F583" s="41"/>
    </row>
    <row r="584" spans="3:6" ht="15.75" customHeight="1" x14ac:dyDescent="0.25">
      <c r="C584" s="41"/>
      <c r="E584" s="41"/>
      <c r="F584" s="41"/>
    </row>
    <row r="585" spans="3:6" ht="15.75" customHeight="1" x14ac:dyDescent="0.25">
      <c r="C585" s="41"/>
      <c r="E585" s="41"/>
      <c r="F585" s="41"/>
    </row>
    <row r="586" spans="3:6" ht="15.75" customHeight="1" x14ac:dyDescent="0.25">
      <c r="C586" s="41"/>
      <c r="E586" s="41"/>
      <c r="F586" s="41"/>
    </row>
    <row r="587" spans="3:6" ht="15.75" customHeight="1" x14ac:dyDescent="0.25">
      <c r="C587" s="41"/>
      <c r="E587" s="41"/>
      <c r="F587" s="41"/>
    </row>
    <row r="588" spans="3:6" ht="15.75" customHeight="1" x14ac:dyDescent="0.25">
      <c r="C588" s="41"/>
      <c r="E588" s="41"/>
      <c r="F588" s="41"/>
    </row>
    <row r="589" spans="3:6" ht="15.75" customHeight="1" x14ac:dyDescent="0.25">
      <c r="C589" s="41"/>
      <c r="E589" s="41"/>
      <c r="F589" s="41"/>
    </row>
    <row r="590" spans="3:6" ht="15.75" customHeight="1" x14ac:dyDescent="0.25">
      <c r="C590" s="41"/>
      <c r="E590" s="41"/>
      <c r="F590" s="41"/>
    </row>
    <row r="591" spans="3:6" ht="15.75" customHeight="1" x14ac:dyDescent="0.25">
      <c r="C591" s="41"/>
      <c r="E591" s="41"/>
      <c r="F591" s="41"/>
    </row>
    <row r="592" spans="3:6" ht="15.75" customHeight="1" x14ac:dyDescent="0.25">
      <c r="C592" s="41"/>
      <c r="E592" s="41"/>
      <c r="F592" s="41"/>
    </row>
    <row r="593" spans="3:6" ht="15.75" customHeight="1" x14ac:dyDescent="0.25">
      <c r="C593" s="41"/>
      <c r="E593" s="41"/>
      <c r="F593" s="41"/>
    </row>
    <row r="594" spans="3:6" ht="15.75" customHeight="1" x14ac:dyDescent="0.25">
      <c r="C594" s="41"/>
      <c r="E594" s="41"/>
      <c r="F594" s="41"/>
    </row>
    <row r="595" spans="3:6" ht="15.75" customHeight="1" x14ac:dyDescent="0.25">
      <c r="C595" s="41"/>
      <c r="E595" s="41"/>
      <c r="F595" s="41"/>
    </row>
    <row r="596" spans="3:6" ht="15.75" customHeight="1" x14ac:dyDescent="0.25">
      <c r="C596" s="41"/>
      <c r="E596" s="41"/>
      <c r="F596" s="41"/>
    </row>
    <row r="597" spans="3:6" ht="15.75" customHeight="1" x14ac:dyDescent="0.25">
      <c r="C597" s="41"/>
      <c r="E597" s="41"/>
      <c r="F597" s="41"/>
    </row>
    <row r="598" spans="3:6" ht="15.75" customHeight="1" x14ac:dyDescent="0.25">
      <c r="C598" s="41"/>
      <c r="E598" s="41"/>
      <c r="F598" s="41"/>
    </row>
    <row r="599" spans="3:6" ht="15.75" customHeight="1" x14ac:dyDescent="0.25">
      <c r="C599" s="41"/>
      <c r="E599" s="41"/>
      <c r="F599" s="41"/>
    </row>
    <row r="600" spans="3:6" ht="15.75" customHeight="1" x14ac:dyDescent="0.25">
      <c r="C600" s="41"/>
      <c r="E600" s="41"/>
      <c r="F600" s="41"/>
    </row>
    <row r="601" spans="3:6" ht="15.75" customHeight="1" x14ac:dyDescent="0.25">
      <c r="C601" s="41"/>
      <c r="E601" s="41"/>
      <c r="F601" s="41"/>
    </row>
    <row r="602" spans="3:6" ht="15.75" customHeight="1" x14ac:dyDescent="0.25">
      <c r="C602" s="41"/>
      <c r="E602" s="41"/>
      <c r="F602" s="41"/>
    </row>
    <row r="603" spans="3:6" ht="15.75" customHeight="1" x14ac:dyDescent="0.25">
      <c r="C603" s="41"/>
      <c r="E603" s="41"/>
      <c r="F603" s="41"/>
    </row>
    <row r="604" spans="3:6" ht="15.75" customHeight="1" x14ac:dyDescent="0.25">
      <c r="C604" s="41"/>
      <c r="E604" s="41"/>
      <c r="F604" s="41"/>
    </row>
    <row r="605" spans="3:6" ht="15.75" customHeight="1" x14ac:dyDescent="0.25">
      <c r="C605" s="41"/>
      <c r="E605" s="41"/>
      <c r="F605" s="41"/>
    </row>
    <row r="606" spans="3:6" ht="15.75" customHeight="1" x14ac:dyDescent="0.25">
      <c r="C606" s="41"/>
      <c r="E606" s="41"/>
      <c r="F606" s="41"/>
    </row>
    <row r="607" spans="3:6" ht="15.75" customHeight="1" x14ac:dyDescent="0.25">
      <c r="C607" s="41"/>
      <c r="E607" s="41"/>
      <c r="F607" s="41"/>
    </row>
    <row r="608" spans="3:6" ht="15.75" customHeight="1" x14ac:dyDescent="0.25">
      <c r="C608" s="41"/>
      <c r="E608" s="41"/>
      <c r="F608" s="41"/>
    </row>
    <row r="609" spans="3:6" ht="15.75" customHeight="1" x14ac:dyDescent="0.25">
      <c r="C609" s="41"/>
      <c r="E609" s="41"/>
      <c r="F609" s="41"/>
    </row>
    <row r="610" spans="3:6" ht="15.75" customHeight="1" x14ac:dyDescent="0.25">
      <c r="C610" s="41"/>
      <c r="E610" s="41"/>
      <c r="F610" s="41"/>
    </row>
    <row r="611" spans="3:6" ht="15.75" customHeight="1" x14ac:dyDescent="0.25">
      <c r="C611" s="41"/>
      <c r="E611" s="41"/>
      <c r="F611" s="41"/>
    </row>
    <row r="612" spans="3:6" ht="15.75" customHeight="1" x14ac:dyDescent="0.25">
      <c r="C612" s="41"/>
      <c r="E612" s="41"/>
      <c r="F612" s="41"/>
    </row>
    <row r="613" spans="3:6" ht="15.75" customHeight="1" x14ac:dyDescent="0.25">
      <c r="C613" s="41"/>
      <c r="E613" s="41"/>
      <c r="F613" s="41"/>
    </row>
    <row r="614" spans="3:6" ht="15.75" customHeight="1" x14ac:dyDescent="0.25">
      <c r="C614" s="41"/>
      <c r="E614" s="41"/>
      <c r="F614" s="41"/>
    </row>
    <row r="615" spans="3:6" ht="15.75" customHeight="1" x14ac:dyDescent="0.25">
      <c r="C615" s="41"/>
      <c r="E615" s="41"/>
      <c r="F615" s="41"/>
    </row>
    <row r="616" spans="3:6" ht="15.75" customHeight="1" x14ac:dyDescent="0.25">
      <c r="C616" s="41"/>
      <c r="E616" s="41"/>
      <c r="F616" s="41"/>
    </row>
    <row r="617" spans="3:6" ht="15.75" customHeight="1" x14ac:dyDescent="0.25">
      <c r="C617" s="41"/>
      <c r="E617" s="41"/>
      <c r="F617" s="41"/>
    </row>
    <row r="618" spans="3:6" ht="15.75" customHeight="1" x14ac:dyDescent="0.25">
      <c r="C618" s="41"/>
      <c r="E618" s="41"/>
      <c r="F618" s="41"/>
    </row>
    <row r="619" spans="3:6" ht="15.75" customHeight="1" x14ac:dyDescent="0.25">
      <c r="C619" s="41"/>
      <c r="E619" s="41"/>
      <c r="F619" s="41"/>
    </row>
    <row r="620" spans="3:6" ht="15.75" customHeight="1" x14ac:dyDescent="0.25">
      <c r="C620" s="41"/>
      <c r="E620" s="41"/>
      <c r="F620" s="41"/>
    </row>
    <row r="621" spans="3:6" ht="15.75" customHeight="1" x14ac:dyDescent="0.25">
      <c r="C621" s="41"/>
      <c r="E621" s="41"/>
      <c r="F621" s="41"/>
    </row>
    <row r="622" spans="3:6" ht="15.75" customHeight="1" x14ac:dyDescent="0.25">
      <c r="C622" s="41"/>
      <c r="E622" s="41"/>
      <c r="F622" s="41"/>
    </row>
    <row r="623" spans="3:6" ht="15.75" customHeight="1" x14ac:dyDescent="0.25">
      <c r="C623" s="41"/>
      <c r="E623" s="41"/>
      <c r="F623" s="41"/>
    </row>
    <row r="624" spans="3:6" ht="15.75" customHeight="1" x14ac:dyDescent="0.25">
      <c r="C624" s="41"/>
      <c r="E624" s="41"/>
      <c r="F624" s="41"/>
    </row>
    <row r="625" spans="3:6" ht="15.75" customHeight="1" x14ac:dyDescent="0.25">
      <c r="C625" s="41"/>
      <c r="E625" s="41"/>
      <c r="F625" s="41"/>
    </row>
    <row r="626" spans="3:6" ht="15.75" customHeight="1" x14ac:dyDescent="0.25">
      <c r="C626" s="41"/>
      <c r="E626" s="41"/>
      <c r="F626" s="41"/>
    </row>
    <row r="627" spans="3:6" ht="15.75" customHeight="1" x14ac:dyDescent="0.25">
      <c r="C627" s="41"/>
      <c r="E627" s="41"/>
      <c r="F627" s="41"/>
    </row>
    <row r="628" spans="3:6" ht="15.75" customHeight="1" x14ac:dyDescent="0.25">
      <c r="C628" s="41"/>
      <c r="E628" s="41"/>
      <c r="F628" s="41"/>
    </row>
    <row r="629" spans="3:6" ht="15.75" customHeight="1" x14ac:dyDescent="0.25">
      <c r="C629" s="41"/>
      <c r="E629" s="41"/>
      <c r="F629" s="41"/>
    </row>
    <row r="630" spans="3:6" ht="15.75" customHeight="1" x14ac:dyDescent="0.25">
      <c r="C630" s="41"/>
      <c r="E630" s="41"/>
      <c r="F630" s="41"/>
    </row>
    <row r="631" spans="3:6" ht="15.75" customHeight="1" x14ac:dyDescent="0.25">
      <c r="C631" s="41"/>
      <c r="E631" s="41"/>
      <c r="F631" s="41"/>
    </row>
    <row r="632" spans="3:6" ht="15.75" customHeight="1" x14ac:dyDescent="0.25">
      <c r="C632" s="41"/>
      <c r="E632" s="41"/>
      <c r="F632" s="41"/>
    </row>
    <row r="633" spans="3:6" ht="15.75" customHeight="1" x14ac:dyDescent="0.25">
      <c r="C633" s="41"/>
      <c r="E633" s="41"/>
      <c r="F633" s="41"/>
    </row>
    <row r="634" spans="3:6" ht="15.75" customHeight="1" x14ac:dyDescent="0.25">
      <c r="C634" s="41"/>
      <c r="E634" s="41"/>
      <c r="F634" s="41"/>
    </row>
    <row r="635" spans="3:6" ht="15.75" customHeight="1" x14ac:dyDescent="0.25">
      <c r="C635" s="41"/>
      <c r="E635" s="41"/>
      <c r="F635" s="41"/>
    </row>
    <row r="636" spans="3:6" ht="15.75" customHeight="1" x14ac:dyDescent="0.25">
      <c r="C636" s="41"/>
      <c r="E636" s="41"/>
      <c r="F636" s="41"/>
    </row>
    <row r="637" spans="3:6" ht="15.75" customHeight="1" x14ac:dyDescent="0.25">
      <c r="C637" s="41"/>
      <c r="E637" s="41"/>
      <c r="F637" s="41"/>
    </row>
    <row r="638" spans="3:6" ht="15.75" customHeight="1" x14ac:dyDescent="0.25">
      <c r="C638" s="41"/>
      <c r="E638" s="41"/>
      <c r="F638" s="41"/>
    </row>
    <row r="639" spans="3:6" ht="15.75" customHeight="1" x14ac:dyDescent="0.25">
      <c r="C639" s="41"/>
      <c r="E639" s="41"/>
      <c r="F639" s="41"/>
    </row>
    <row r="640" spans="3:6" ht="15.75" customHeight="1" x14ac:dyDescent="0.25">
      <c r="C640" s="41"/>
      <c r="E640" s="41"/>
      <c r="F640" s="41"/>
    </row>
    <row r="641" spans="3:6" ht="15.75" customHeight="1" x14ac:dyDescent="0.25">
      <c r="C641" s="41"/>
      <c r="E641" s="41"/>
      <c r="F641" s="41"/>
    </row>
    <row r="642" spans="3:6" ht="15.75" customHeight="1" x14ac:dyDescent="0.25">
      <c r="C642" s="41"/>
      <c r="E642" s="41"/>
      <c r="F642" s="41"/>
    </row>
    <row r="643" spans="3:6" ht="15.75" customHeight="1" x14ac:dyDescent="0.25">
      <c r="C643" s="41"/>
      <c r="E643" s="41"/>
      <c r="F643" s="41"/>
    </row>
    <row r="644" spans="3:6" ht="15.75" customHeight="1" x14ac:dyDescent="0.25">
      <c r="C644" s="41"/>
      <c r="E644" s="41"/>
      <c r="F644" s="41"/>
    </row>
    <row r="645" spans="3:6" ht="15.75" customHeight="1" x14ac:dyDescent="0.25">
      <c r="C645" s="41"/>
      <c r="E645" s="41"/>
      <c r="F645" s="41"/>
    </row>
    <row r="646" spans="3:6" ht="15.75" customHeight="1" x14ac:dyDescent="0.25">
      <c r="C646" s="41"/>
      <c r="E646" s="41"/>
      <c r="F646" s="41"/>
    </row>
    <row r="647" spans="3:6" ht="15.75" customHeight="1" x14ac:dyDescent="0.25">
      <c r="C647" s="41"/>
      <c r="E647" s="41"/>
      <c r="F647" s="41"/>
    </row>
    <row r="648" spans="3:6" ht="15.75" customHeight="1" x14ac:dyDescent="0.25">
      <c r="C648" s="41"/>
      <c r="E648" s="41"/>
      <c r="F648" s="41"/>
    </row>
    <row r="649" spans="3:6" ht="15.75" customHeight="1" x14ac:dyDescent="0.25">
      <c r="C649" s="41"/>
      <c r="E649" s="41"/>
      <c r="F649" s="41"/>
    </row>
    <row r="650" spans="3:6" ht="15.75" customHeight="1" x14ac:dyDescent="0.25">
      <c r="C650" s="41"/>
      <c r="E650" s="41"/>
      <c r="F650" s="41"/>
    </row>
    <row r="651" spans="3:6" ht="15.75" customHeight="1" x14ac:dyDescent="0.25">
      <c r="C651" s="41"/>
      <c r="E651" s="41"/>
      <c r="F651" s="41"/>
    </row>
    <row r="652" spans="3:6" ht="15.75" customHeight="1" x14ac:dyDescent="0.25">
      <c r="C652" s="41"/>
      <c r="E652" s="41"/>
      <c r="F652" s="41"/>
    </row>
    <row r="653" spans="3:6" ht="15.75" customHeight="1" x14ac:dyDescent="0.25">
      <c r="C653" s="41"/>
      <c r="E653" s="41"/>
      <c r="F653" s="41"/>
    </row>
    <row r="654" spans="3:6" ht="15.75" customHeight="1" x14ac:dyDescent="0.25">
      <c r="C654" s="41"/>
      <c r="E654" s="41"/>
      <c r="F654" s="41"/>
    </row>
    <row r="655" spans="3:6" ht="15.75" customHeight="1" x14ac:dyDescent="0.25">
      <c r="C655" s="41"/>
      <c r="E655" s="41"/>
      <c r="F655" s="41"/>
    </row>
    <row r="656" spans="3:6" ht="15.75" customHeight="1" x14ac:dyDescent="0.25">
      <c r="C656" s="41"/>
      <c r="E656" s="41"/>
      <c r="F656" s="41"/>
    </row>
    <row r="657" spans="3:6" ht="15.75" customHeight="1" x14ac:dyDescent="0.25">
      <c r="C657" s="41"/>
      <c r="E657" s="41"/>
      <c r="F657" s="41"/>
    </row>
    <row r="658" spans="3:6" ht="15.75" customHeight="1" x14ac:dyDescent="0.25">
      <c r="C658" s="41"/>
      <c r="E658" s="41"/>
      <c r="F658" s="41"/>
    </row>
    <row r="659" spans="3:6" ht="15.75" customHeight="1" x14ac:dyDescent="0.25">
      <c r="C659" s="41"/>
      <c r="E659" s="41"/>
      <c r="F659" s="41"/>
    </row>
    <row r="660" spans="3:6" ht="15.75" customHeight="1" x14ac:dyDescent="0.25">
      <c r="C660" s="41"/>
      <c r="E660" s="41"/>
      <c r="F660" s="41"/>
    </row>
    <row r="661" spans="3:6" ht="15.75" customHeight="1" x14ac:dyDescent="0.25">
      <c r="C661" s="41"/>
      <c r="E661" s="41"/>
      <c r="F661" s="41"/>
    </row>
    <row r="662" spans="3:6" ht="15.75" customHeight="1" x14ac:dyDescent="0.25">
      <c r="C662" s="41"/>
      <c r="E662" s="41"/>
      <c r="F662" s="41"/>
    </row>
    <row r="663" spans="3:6" ht="15.75" customHeight="1" x14ac:dyDescent="0.25">
      <c r="C663" s="41"/>
      <c r="E663" s="41"/>
      <c r="F663" s="41"/>
    </row>
    <row r="664" spans="3:6" ht="15.75" customHeight="1" x14ac:dyDescent="0.25">
      <c r="C664" s="41"/>
      <c r="E664" s="41"/>
      <c r="F664" s="41"/>
    </row>
    <row r="665" spans="3:6" ht="15.75" customHeight="1" x14ac:dyDescent="0.25">
      <c r="C665" s="41"/>
      <c r="E665" s="41"/>
      <c r="F665" s="41"/>
    </row>
    <row r="666" spans="3:6" ht="15.75" customHeight="1" x14ac:dyDescent="0.25">
      <c r="C666" s="41"/>
      <c r="E666" s="41"/>
      <c r="F666" s="41"/>
    </row>
    <row r="667" spans="3:6" ht="15.75" customHeight="1" x14ac:dyDescent="0.25">
      <c r="C667" s="41"/>
      <c r="E667" s="41"/>
      <c r="F667" s="41"/>
    </row>
    <row r="668" spans="3:6" ht="15.75" customHeight="1" x14ac:dyDescent="0.25">
      <c r="C668" s="41"/>
      <c r="E668" s="41"/>
      <c r="F668" s="41"/>
    </row>
    <row r="669" spans="3:6" ht="15.75" customHeight="1" x14ac:dyDescent="0.25">
      <c r="C669" s="41"/>
      <c r="E669" s="41"/>
      <c r="F669" s="41"/>
    </row>
    <row r="670" spans="3:6" ht="15.75" customHeight="1" x14ac:dyDescent="0.25">
      <c r="C670" s="41"/>
      <c r="E670" s="41"/>
      <c r="F670" s="41"/>
    </row>
    <row r="671" spans="3:6" ht="15.75" customHeight="1" x14ac:dyDescent="0.25">
      <c r="C671" s="41"/>
      <c r="E671" s="41"/>
      <c r="F671" s="41"/>
    </row>
    <row r="672" spans="3:6" ht="15.75" customHeight="1" x14ac:dyDescent="0.25">
      <c r="C672" s="41"/>
      <c r="E672" s="41"/>
      <c r="F672" s="41"/>
    </row>
    <row r="673" spans="3:6" ht="15.75" customHeight="1" x14ac:dyDescent="0.25">
      <c r="C673" s="41"/>
      <c r="E673" s="41"/>
      <c r="F673" s="41"/>
    </row>
    <row r="674" spans="3:6" ht="15.75" customHeight="1" x14ac:dyDescent="0.25">
      <c r="C674" s="41"/>
      <c r="E674" s="41"/>
      <c r="F674" s="41"/>
    </row>
    <row r="675" spans="3:6" ht="15.75" customHeight="1" x14ac:dyDescent="0.25">
      <c r="C675" s="41"/>
      <c r="E675" s="41"/>
      <c r="F675" s="41"/>
    </row>
    <row r="676" spans="3:6" ht="15.75" customHeight="1" x14ac:dyDescent="0.25">
      <c r="C676" s="41"/>
      <c r="E676" s="41"/>
      <c r="F676" s="41"/>
    </row>
    <row r="677" spans="3:6" ht="15.75" customHeight="1" x14ac:dyDescent="0.25">
      <c r="C677" s="41"/>
      <c r="E677" s="41"/>
      <c r="F677" s="41"/>
    </row>
    <row r="678" spans="3:6" ht="15.75" customHeight="1" x14ac:dyDescent="0.25">
      <c r="C678" s="41"/>
      <c r="E678" s="41"/>
      <c r="F678" s="41"/>
    </row>
    <row r="679" spans="3:6" ht="15.75" customHeight="1" x14ac:dyDescent="0.25">
      <c r="C679" s="41"/>
      <c r="E679" s="41"/>
      <c r="F679" s="41"/>
    </row>
    <row r="680" spans="3:6" ht="15.75" customHeight="1" x14ac:dyDescent="0.25">
      <c r="C680" s="41"/>
      <c r="E680" s="41"/>
      <c r="F680" s="41"/>
    </row>
    <row r="681" spans="3:6" ht="15.75" customHeight="1" x14ac:dyDescent="0.25">
      <c r="C681" s="41"/>
      <c r="E681" s="41"/>
      <c r="F681" s="41"/>
    </row>
    <row r="682" spans="3:6" ht="15.75" customHeight="1" x14ac:dyDescent="0.25">
      <c r="C682" s="41"/>
      <c r="E682" s="41"/>
      <c r="F682" s="41"/>
    </row>
    <row r="683" spans="3:6" ht="15.75" customHeight="1" x14ac:dyDescent="0.25">
      <c r="C683" s="41"/>
      <c r="E683" s="41"/>
      <c r="F683" s="41"/>
    </row>
    <row r="684" spans="3:6" ht="15.75" customHeight="1" x14ac:dyDescent="0.25">
      <c r="C684" s="41"/>
      <c r="E684" s="41"/>
      <c r="F684" s="41"/>
    </row>
    <row r="685" spans="3:6" ht="15.75" customHeight="1" x14ac:dyDescent="0.25">
      <c r="C685" s="41"/>
      <c r="E685" s="41"/>
      <c r="F685" s="41"/>
    </row>
    <row r="686" spans="3:6" ht="15.75" customHeight="1" x14ac:dyDescent="0.25">
      <c r="C686" s="41"/>
      <c r="E686" s="41"/>
      <c r="F686" s="41"/>
    </row>
    <row r="687" spans="3:6" ht="15.75" customHeight="1" x14ac:dyDescent="0.25">
      <c r="C687" s="41"/>
      <c r="E687" s="41"/>
      <c r="F687" s="41"/>
    </row>
    <row r="688" spans="3:6" ht="15.75" customHeight="1" x14ac:dyDescent="0.25">
      <c r="C688" s="41"/>
      <c r="E688" s="41"/>
      <c r="F688" s="41"/>
    </row>
    <row r="689" spans="3:6" ht="15.75" customHeight="1" x14ac:dyDescent="0.25">
      <c r="C689" s="41"/>
      <c r="E689" s="41"/>
      <c r="F689" s="41"/>
    </row>
    <row r="690" spans="3:6" ht="15.75" customHeight="1" x14ac:dyDescent="0.25">
      <c r="C690" s="41"/>
      <c r="E690" s="41"/>
      <c r="F690" s="41"/>
    </row>
    <row r="691" spans="3:6" ht="15.75" customHeight="1" x14ac:dyDescent="0.25">
      <c r="C691" s="41"/>
      <c r="E691" s="41"/>
      <c r="F691" s="41"/>
    </row>
    <row r="692" spans="3:6" ht="15.75" customHeight="1" x14ac:dyDescent="0.25">
      <c r="C692" s="41"/>
      <c r="E692" s="41"/>
      <c r="F692" s="41"/>
    </row>
    <row r="693" spans="3:6" ht="15.75" customHeight="1" x14ac:dyDescent="0.25">
      <c r="C693" s="41"/>
      <c r="E693" s="41"/>
      <c r="F693" s="41"/>
    </row>
    <row r="694" spans="3:6" ht="15.75" customHeight="1" x14ac:dyDescent="0.25">
      <c r="C694" s="41"/>
      <c r="E694" s="41"/>
      <c r="F694" s="41"/>
    </row>
    <row r="695" spans="3:6" ht="15.75" customHeight="1" x14ac:dyDescent="0.25">
      <c r="C695" s="41"/>
      <c r="E695" s="41"/>
      <c r="F695" s="41"/>
    </row>
    <row r="696" spans="3:6" ht="15.75" customHeight="1" x14ac:dyDescent="0.25">
      <c r="C696" s="41"/>
      <c r="E696" s="41"/>
      <c r="F696" s="41"/>
    </row>
    <row r="697" spans="3:6" ht="15.75" customHeight="1" x14ac:dyDescent="0.25">
      <c r="C697" s="41"/>
      <c r="E697" s="41"/>
      <c r="F697" s="41"/>
    </row>
    <row r="698" spans="3:6" ht="15.75" customHeight="1" x14ac:dyDescent="0.25">
      <c r="C698" s="41"/>
      <c r="E698" s="41"/>
      <c r="F698" s="41"/>
    </row>
    <row r="699" spans="3:6" ht="15.75" customHeight="1" x14ac:dyDescent="0.25">
      <c r="C699" s="41"/>
      <c r="E699" s="41"/>
      <c r="F699" s="41"/>
    </row>
    <row r="700" spans="3:6" ht="15.75" customHeight="1" x14ac:dyDescent="0.25">
      <c r="C700" s="41"/>
      <c r="E700" s="41"/>
      <c r="F700" s="41"/>
    </row>
    <row r="701" spans="3:6" ht="15.75" customHeight="1" x14ac:dyDescent="0.25">
      <c r="C701" s="41"/>
      <c r="E701" s="41"/>
      <c r="F701" s="41"/>
    </row>
    <row r="702" spans="3:6" ht="15.75" customHeight="1" x14ac:dyDescent="0.25">
      <c r="C702" s="41"/>
      <c r="E702" s="41"/>
      <c r="F702" s="41"/>
    </row>
    <row r="703" spans="3:6" ht="15.75" customHeight="1" x14ac:dyDescent="0.25">
      <c r="C703" s="41"/>
      <c r="E703" s="41"/>
      <c r="F703" s="41"/>
    </row>
    <row r="704" spans="3:6" ht="15.75" customHeight="1" x14ac:dyDescent="0.25">
      <c r="C704" s="41"/>
      <c r="E704" s="41"/>
      <c r="F704" s="41"/>
    </row>
    <row r="705" spans="3:6" ht="15.75" customHeight="1" x14ac:dyDescent="0.25">
      <c r="C705" s="41"/>
      <c r="E705" s="41"/>
      <c r="F705" s="41"/>
    </row>
    <row r="706" spans="3:6" ht="15.75" customHeight="1" x14ac:dyDescent="0.25">
      <c r="C706" s="41"/>
      <c r="E706" s="41"/>
      <c r="F706" s="41"/>
    </row>
    <row r="707" spans="3:6" ht="15.75" customHeight="1" x14ac:dyDescent="0.25">
      <c r="C707" s="41"/>
      <c r="E707" s="41"/>
      <c r="F707" s="41"/>
    </row>
    <row r="708" spans="3:6" ht="15.75" customHeight="1" x14ac:dyDescent="0.25">
      <c r="C708" s="41"/>
      <c r="E708" s="41"/>
      <c r="F708" s="41"/>
    </row>
    <row r="709" spans="3:6" ht="15.75" customHeight="1" x14ac:dyDescent="0.25">
      <c r="C709" s="41"/>
      <c r="E709" s="41"/>
      <c r="F709" s="41"/>
    </row>
    <row r="710" spans="3:6" ht="15.75" customHeight="1" x14ac:dyDescent="0.25">
      <c r="C710" s="41"/>
      <c r="E710" s="41"/>
      <c r="F710" s="41"/>
    </row>
    <row r="711" spans="3:6" ht="15.75" customHeight="1" x14ac:dyDescent="0.25">
      <c r="C711" s="41"/>
      <c r="E711" s="41"/>
      <c r="F711" s="41"/>
    </row>
    <row r="712" spans="3:6" ht="15.75" customHeight="1" x14ac:dyDescent="0.25">
      <c r="C712" s="41"/>
      <c r="E712" s="41"/>
      <c r="F712" s="41"/>
    </row>
    <row r="713" spans="3:6" ht="15.75" customHeight="1" x14ac:dyDescent="0.25">
      <c r="C713" s="41"/>
      <c r="E713" s="41"/>
      <c r="F713" s="41"/>
    </row>
    <row r="714" spans="3:6" ht="15.75" customHeight="1" x14ac:dyDescent="0.25">
      <c r="C714" s="41"/>
      <c r="E714" s="41"/>
      <c r="F714" s="41"/>
    </row>
    <row r="715" spans="3:6" ht="15.75" customHeight="1" x14ac:dyDescent="0.25">
      <c r="C715" s="41"/>
      <c r="E715" s="41"/>
      <c r="F715" s="41"/>
    </row>
    <row r="716" spans="3:6" ht="15.75" customHeight="1" x14ac:dyDescent="0.25">
      <c r="C716" s="41"/>
      <c r="E716" s="41"/>
      <c r="F716" s="41"/>
    </row>
    <row r="717" spans="3:6" ht="15.75" customHeight="1" x14ac:dyDescent="0.25">
      <c r="C717" s="41"/>
      <c r="E717" s="41"/>
      <c r="F717" s="41"/>
    </row>
    <row r="718" spans="3:6" ht="15.75" customHeight="1" x14ac:dyDescent="0.25">
      <c r="C718" s="41"/>
      <c r="E718" s="41"/>
      <c r="F718" s="41"/>
    </row>
    <row r="719" spans="3:6" ht="15.75" customHeight="1" x14ac:dyDescent="0.25">
      <c r="C719" s="41"/>
      <c r="E719" s="41"/>
      <c r="F719" s="41"/>
    </row>
    <row r="720" spans="3:6" ht="15.75" customHeight="1" x14ac:dyDescent="0.25">
      <c r="C720" s="41"/>
      <c r="E720" s="41"/>
      <c r="F720" s="41"/>
    </row>
    <row r="721" spans="3:6" ht="15.75" customHeight="1" x14ac:dyDescent="0.25">
      <c r="C721" s="41"/>
      <c r="E721" s="41"/>
      <c r="F721" s="41"/>
    </row>
    <row r="722" spans="3:6" ht="15.75" customHeight="1" x14ac:dyDescent="0.25">
      <c r="C722" s="41"/>
      <c r="E722" s="41"/>
      <c r="F722" s="41"/>
    </row>
    <row r="723" spans="3:6" ht="15.75" customHeight="1" x14ac:dyDescent="0.25">
      <c r="C723" s="41"/>
      <c r="E723" s="41"/>
      <c r="F723" s="41"/>
    </row>
    <row r="724" spans="3:6" ht="15.75" customHeight="1" x14ac:dyDescent="0.25">
      <c r="C724" s="41"/>
      <c r="E724" s="41"/>
      <c r="F724" s="41"/>
    </row>
    <row r="725" spans="3:6" ht="15.75" customHeight="1" x14ac:dyDescent="0.25">
      <c r="C725" s="41"/>
      <c r="E725" s="41"/>
      <c r="F725" s="41"/>
    </row>
    <row r="726" spans="3:6" ht="15.75" customHeight="1" x14ac:dyDescent="0.25">
      <c r="C726" s="41"/>
      <c r="E726" s="41"/>
      <c r="F726" s="41"/>
    </row>
    <row r="727" spans="3:6" ht="15.75" customHeight="1" x14ac:dyDescent="0.25">
      <c r="C727" s="41"/>
      <c r="E727" s="41"/>
      <c r="F727" s="41"/>
    </row>
    <row r="728" spans="3:6" ht="15.75" customHeight="1" x14ac:dyDescent="0.25">
      <c r="C728" s="41"/>
      <c r="E728" s="41"/>
      <c r="F728" s="41"/>
    </row>
    <row r="729" spans="3:6" ht="15.75" customHeight="1" x14ac:dyDescent="0.25">
      <c r="C729" s="41"/>
      <c r="E729" s="41"/>
      <c r="F729" s="41"/>
    </row>
    <row r="730" spans="3:6" ht="15.75" customHeight="1" x14ac:dyDescent="0.25">
      <c r="C730" s="41"/>
      <c r="E730" s="41"/>
      <c r="F730" s="41"/>
    </row>
    <row r="731" spans="3:6" ht="15.75" customHeight="1" x14ac:dyDescent="0.25">
      <c r="C731" s="41"/>
      <c r="E731" s="41"/>
      <c r="F731" s="41"/>
    </row>
    <row r="732" spans="3:6" ht="15.75" customHeight="1" x14ac:dyDescent="0.25">
      <c r="C732" s="41"/>
      <c r="E732" s="41"/>
      <c r="F732" s="41"/>
    </row>
    <row r="733" spans="3:6" ht="15.75" customHeight="1" x14ac:dyDescent="0.25">
      <c r="C733" s="41"/>
      <c r="E733" s="41"/>
      <c r="F733" s="41"/>
    </row>
    <row r="734" spans="3:6" ht="15.75" customHeight="1" x14ac:dyDescent="0.25">
      <c r="C734" s="41"/>
      <c r="E734" s="41"/>
      <c r="F734" s="41"/>
    </row>
    <row r="735" spans="3:6" ht="15.75" customHeight="1" x14ac:dyDescent="0.25">
      <c r="C735" s="41"/>
      <c r="E735" s="41"/>
      <c r="F735" s="41"/>
    </row>
    <row r="736" spans="3:6" ht="15.75" customHeight="1" x14ac:dyDescent="0.25">
      <c r="C736" s="41"/>
      <c r="E736" s="41"/>
      <c r="F736" s="41"/>
    </row>
    <row r="737" spans="3:6" ht="15.75" customHeight="1" x14ac:dyDescent="0.25">
      <c r="C737" s="41"/>
      <c r="E737" s="41"/>
      <c r="F737" s="41"/>
    </row>
    <row r="738" spans="3:6" ht="15.75" customHeight="1" x14ac:dyDescent="0.25">
      <c r="C738" s="41"/>
      <c r="E738" s="41"/>
      <c r="F738" s="41"/>
    </row>
    <row r="739" spans="3:6" ht="15.75" customHeight="1" x14ac:dyDescent="0.25">
      <c r="C739" s="41"/>
      <c r="E739" s="41"/>
      <c r="F739" s="41"/>
    </row>
    <row r="740" spans="3:6" ht="15.75" customHeight="1" x14ac:dyDescent="0.25">
      <c r="C740" s="41"/>
      <c r="E740" s="41"/>
      <c r="F740" s="41"/>
    </row>
    <row r="741" spans="3:6" ht="15.75" customHeight="1" x14ac:dyDescent="0.25">
      <c r="C741" s="41"/>
      <c r="E741" s="41"/>
      <c r="F741" s="41"/>
    </row>
    <row r="742" spans="3:6" ht="15.75" customHeight="1" x14ac:dyDescent="0.25">
      <c r="C742" s="41"/>
      <c r="E742" s="41"/>
      <c r="F742" s="41"/>
    </row>
    <row r="743" spans="3:6" ht="15.75" customHeight="1" x14ac:dyDescent="0.25">
      <c r="C743" s="41"/>
      <c r="E743" s="41"/>
      <c r="F743" s="41"/>
    </row>
    <row r="744" spans="3:6" ht="15.75" customHeight="1" x14ac:dyDescent="0.25">
      <c r="C744" s="41"/>
      <c r="E744" s="41"/>
      <c r="F744" s="41"/>
    </row>
    <row r="745" spans="3:6" ht="15.75" customHeight="1" x14ac:dyDescent="0.25">
      <c r="C745" s="41"/>
      <c r="E745" s="41"/>
      <c r="F745" s="41"/>
    </row>
    <row r="746" spans="3:6" ht="15.75" customHeight="1" x14ac:dyDescent="0.25">
      <c r="C746" s="41"/>
      <c r="E746" s="41"/>
      <c r="F746" s="41"/>
    </row>
    <row r="747" spans="3:6" ht="15.75" customHeight="1" x14ac:dyDescent="0.25">
      <c r="C747" s="41"/>
      <c r="E747" s="41"/>
      <c r="F747" s="41"/>
    </row>
    <row r="748" spans="3:6" ht="15.75" customHeight="1" x14ac:dyDescent="0.25">
      <c r="C748" s="41"/>
      <c r="E748" s="41"/>
      <c r="F748" s="41"/>
    </row>
    <row r="749" spans="3:6" ht="15.75" customHeight="1" x14ac:dyDescent="0.25">
      <c r="C749" s="41"/>
      <c r="E749" s="41"/>
      <c r="F749" s="41"/>
    </row>
    <row r="750" spans="3:6" ht="15.75" customHeight="1" x14ac:dyDescent="0.25">
      <c r="C750" s="41"/>
      <c r="E750" s="41"/>
      <c r="F750" s="41"/>
    </row>
    <row r="751" spans="3:6" ht="15.75" customHeight="1" x14ac:dyDescent="0.25">
      <c r="C751" s="41"/>
      <c r="E751" s="41"/>
      <c r="F751" s="41"/>
    </row>
    <row r="752" spans="3:6" ht="15.75" customHeight="1" x14ac:dyDescent="0.25">
      <c r="C752" s="41"/>
      <c r="E752" s="41"/>
      <c r="F752" s="41"/>
    </row>
    <row r="753" spans="3:6" ht="15.75" customHeight="1" x14ac:dyDescent="0.25">
      <c r="C753" s="41"/>
      <c r="E753" s="41"/>
      <c r="F753" s="41"/>
    </row>
    <row r="754" spans="3:6" ht="15.75" customHeight="1" x14ac:dyDescent="0.25">
      <c r="C754" s="41"/>
      <c r="E754" s="41"/>
      <c r="F754" s="41"/>
    </row>
    <row r="755" spans="3:6" ht="15.75" customHeight="1" x14ac:dyDescent="0.25">
      <c r="C755" s="41"/>
      <c r="E755" s="41"/>
      <c r="F755" s="41"/>
    </row>
    <row r="756" spans="3:6" ht="15.75" customHeight="1" x14ac:dyDescent="0.25">
      <c r="C756" s="41"/>
      <c r="E756" s="41"/>
      <c r="F756" s="41"/>
    </row>
    <row r="757" spans="3:6" ht="15.75" customHeight="1" x14ac:dyDescent="0.25">
      <c r="C757" s="41"/>
      <c r="E757" s="41"/>
      <c r="F757" s="41"/>
    </row>
    <row r="758" spans="3:6" ht="15.75" customHeight="1" x14ac:dyDescent="0.25">
      <c r="C758" s="41"/>
      <c r="E758" s="41"/>
      <c r="F758" s="41"/>
    </row>
    <row r="759" spans="3:6" ht="15.75" customHeight="1" x14ac:dyDescent="0.25">
      <c r="C759" s="41"/>
      <c r="E759" s="41"/>
      <c r="F759" s="41"/>
    </row>
    <row r="760" spans="3:6" ht="15.75" customHeight="1" x14ac:dyDescent="0.25">
      <c r="C760" s="41"/>
      <c r="E760" s="41"/>
      <c r="F760" s="41"/>
    </row>
    <row r="761" spans="3:6" ht="15.75" customHeight="1" x14ac:dyDescent="0.25">
      <c r="C761" s="41"/>
      <c r="E761" s="41"/>
      <c r="F761" s="41"/>
    </row>
    <row r="762" spans="3:6" ht="15.75" customHeight="1" x14ac:dyDescent="0.25">
      <c r="C762" s="41"/>
      <c r="E762" s="41"/>
      <c r="F762" s="41"/>
    </row>
    <row r="763" spans="3:6" ht="15.75" customHeight="1" x14ac:dyDescent="0.25">
      <c r="C763" s="41"/>
      <c r="E763" s="41"/>
      <c r="F763" s="41"/>
    </row>
    <row r="764" spans="3:6" ht="15.75" customHeight="1" x14ac:dyDescent="0.25">
      <c r="C764" s="41"/>
      <c r="E764" s="41"/>
      <c r="F764" s="41"/>
    </row>
    <row r="765" spans="3:6" ht="15.75" customHeight="1" x14ac:dyDescent="0.25">
      <c r="C765" s="41"/>
      <c r="E765" s="41"/>
      <c r="F765" s="41"/>
    </row>
    <row r="766" spans="3:6" ht="15.75" customHeight="1" x14ac:dyDescent="0.25">
      <c r="C766" s="41"/>
      <c r="E766" s="41"/>
      <c r="F766" s="41"/>
    </row>
    <row r="767" spans="3:6" ht="15.75" customHeight="1" x14ac:dyDescent="0.25">
      <c r="C767" s="41"/>
      <c r="E767" s="41"/>
      <c r="F767" s="41"/>
    </row>
    <row r="768" spans="3:6" ht="15.75" customHeight="1" x14ac:dyDescent="0.25">
      <c r="C768" s="41"/>
      <c r="E768" s="41"/>
      <c r="F768" s="41"/>
    </row>
    <row r="769" spans="3:6" ht="15.75" customHeight="1" x14ac:dyDescent="0.25">
      <c r="C769" s="41"/>
      <c r="E769" s="41"/>
      <c r="F769" s="41"/>
    </row>
    <row r="770" spans="3:6" ht="15.75" customHeight="1" x14ac:dyDescent="0.25">
      <c r="C770" s="41"/>
      <c r="E770" s="41"/>
      <c r="F770" s="41"/>
    </row>
    <row r="771" spans="3:6" ht="15.75" customHeight="1" x14ac:dyDescent="0.25">
      <c r="C771" s="41"/>
      <c r="E771" s="41"/>
      <c r="F771" s="41"/>
    </row>
    <row r="772" spans="3:6" ht="15.75" customHeight="1" x14ac:dyDescent="0.25">
      <c r="C772" s="41"/>
      <c r="E772" s="41"/>
      <c r="F772" s="41"/>
    </row>
    <row r="773" spans="3:6" ht="15.75" customHeight="1" x14ac:dyDescent="0.25">
      <c r="C773" s="41"/>
      <c r="E773" s="41"/>
      <c r="F773" s="41"/>
    </row>
    <row r="774" spans="3:6" ht="15.75" customHeight="1" x14ac:dyDescent="0.25">
      <c r="C774" s="41"/>
      <c r="E774" s="41"/>
      <c r="F774" s="41"/>
    </row>
    <row r="775" spans="3:6" ht="15.75" customHeight="1" x14ac:dyDescent="0.25">
      <c r="C775" s="41"/>
      <c r="E775" s="41"/>
      <c r="F775" s="41"/>
    </row>
    <row r="776" spans="3:6" ht="15.75" customHeight="1" x14ac:dyDescent="0.25">
      <c r="C776" s="41"/>
      <c r="E776" s="41"/>
      <c r="F776" s="41"/>
    </row>
    <row r="777" spans="3:6" ht="15.75" customHeight="1" x14ac:dyDescent="0.25">
      <c r="C777" s="41"/>
      <c r="E777" s="41"/>
      <c r="F777" s="41"/>
    </row>
    <row r="778" spans="3:6" ht="15.75" customHeight="1" x14ac:dyDescent="0.25">
      <c r="C778" s="41"/>
      <c r="E778" s="41"/>
      <c r="F778" s="41"/>
    </row>
    <row r="779" spans="3:6" ht="15.75" customHeight="1" x14ac:dyDescent="0.25">
      <c r="C779" s="41"/>
      <c r="E779" s="41"/>
      <c r="F779" s="41"/>
    </row>
    <row r="780" spans="3:6" ht="15.75" customHeight="1" x14ac:dyDescent="0.25">
      <c r="C780" s="41"/>
      <c r="E780" s="41"/>
      <c r="F780" s="41"/>
    </row>
    <row r="781" spans="3:6" ht="15.75" customHeight="1" x14ac:dyDescent="0.25">
      <c r="C781" s="41"/>
      <c r="E781" s="41"/>
      <c r="F781" s="41"/>
    </row>
    <row r="782" spans="3:6" ht="15.75" customHeight="1" x14ac:dyDescent="0.25">
      <c r="C782" s="41"/>
      <c r="E782" s="41"/>
      <c r="F782" s="41"/>
    </row>
    <row r="783" spans="3:6" ht="15.75" customHeight="1" x14ac:dyDescent="0.25">
      <c r="C783" s="41"/>
      <c r="E783" s="41"/>
      <c r="F783" s="41"/>
    </row>
    <row r="784" spans="3:6" ht="15.75" customHeight="1" x14ac:dyDescent="0.25">
      <c r="C784" s="41"/>
      <c r="E784" s="41"/>
      <c r="F784" s="41"/>
    </row>
    <row r="785" spans="3:6" ht="15.75" customHeight="1" x14ac:dyDescent="0.25">
      <c r="C785" s="41"/>
      <c r="E785" s="41"/>
      <c r="F785" s="41"/>
    </row>
    <row r="786" spans="3:6" ht="15.75" customHeight="1" x14ac:dyDescent="0.25">
      <c r="C786" s="41"/>
      <c r="E786" s="41"/>
      <c r="F786" s="41"/>
    </row>
    <row r="787" spans="3:6" ht="15.75" customHeight="1" x14ac:dyDescent="0.25">
      <c r="C787" s="41"/>
      <c r="E787" s="41"/>
      <c r="F787" s="41"/>
    </row>
    <row r="788" spans="3:6" ht="15.75" customHeight="1" x14ac:dyDescent="0.25">
      <c r="C788" s="41"/>
      <c r="E788" s="41"/>
      <c r="F788" s="41"/>
    </row>
    <row r="789" spans="3:6" ht="15.75" customHeight="1" x14ac:dyDescent="0.25">
      <c r="C789" s="41"/>
      <c r="E789" s="41"/>
      <c r="F789" s="41"/>
    </row>
    <row r="790" spans="3:6" ht="15.75" customHeight="1" x14ac:dyDescent="0.25">
      <c r="C790" s="41"/>
      <c r="E790" s="41"/>
      <c r="F790" s="41"/>
    </row>
    <row r="791" spans="3:6" ht="15.75" customHeight="1" x14ac:dyDescent="0.25">
      <c r="C791" s="41"/>
      <c r="E791" s="41"/>
      <c r="F791" s="41"/>
    </row>
    <row r="792" spans="3:6" ht="15.75" customHeight="1" x14ac:dyDescent="0.25">
      <c r="C792" s="41"/>
      <c r="E792" s="41"/>
      <c r="F792" s="41"/>
    </row>
    <row r="793" spans="3:6" ht="15.75" customHeight="1" x14ac:dyDescent="0.25">
      <c r="C793" s="41"/>
      <c r="E793" s="41"/>
      <c r="F793" s="41"/>
    </row>
    <row r="794" spans="3:6" ht="15.75" customHeight="1" x14ac:dyDescent="0.25">
      <c r="C794" s="41"/>
      <c r="E794" s="41"/>
      <c r="F794" s="41"/>
    </row>
    <row r="795" spans="3:6" ht="15.75" customHeight="1" x14ac:dyDescent="0.25">
      <c r="C795" s="41"/>
      <c r="E795" s="41"/>
      <c r="F795" s="41"/>
    </row>
    <row r="796" spans="3:6" ht="15.75" customHeight="1" x14ac:dyDescent="0.25">
      <c r="C796" s="41"/>
      <c r="E796" s="41"/>
      <c r="F796" s="41"/>
    </row>
    <row r="797" spans="3:6" ht="15.75" customHeight="1" x14ac:dyDescent="0.25">
      <c r="C797" s="41"/>
      <c r="E797" s="41"/>
      <c r="F797" s="41"/>
    </row>
    <row r="798" spans="3:6" ht="15.75" customHeight="1" x14ac:dyDescent="0.25">
      <c r="C798" s="41"/>
      <c r="E798" s="41"/>
      <c r="F798" s="41"/>
    </row>
    <row r="799" spans="3:6" ht="15.75" customHeight="1" x14ac:dyDescent="0.25">
      <c r="C799" s="41"/>
      <c r="E799" s="41"/>
      <c r="F799" s="41"/>
    </row>
    <row r="800" spans="3:6" ht="15.75" customHeight="1" x14ac:dyDescent="0.25">
      <c r="C800" s="41"/>
      <c r="E800" s="41"/>
      <c r="F800" s="41"/>
    </row>
    <row r="801" spans="3:6" ht="15.75" customHeight="1" x14ac:dyDescent="0.25">
      <c r="C801" s="41"/>
      <c r="E801" s="41"/>
      <c r="F801" s="41"/>
    </row>
    <row r="802" spans="3:6" ht="15.75" customHeight="1" x14ac:dyDescent="0.25">
      <c r="C802" s="41"/>
      <c r="E802" s="41"/>
      <c r="F802" s="41"/>
    </row>
    <row r="803" spans="3:6" ht="15.75" customHeight="1" x14ac:dyDescent="0.25">
      <c r="C803" s="41"/>
      <c r="E803" s="41"/>
      <c r="F803" s="41"/>
    </row>
    <row r="804" spans="3:6" ht="15.75" customHeight="1" x14ac:dyDescent="0.25">
      <c r="C804" s="41"/>
      <c r="E804" s="41"/>
      <c r="F804" s="41"/>
    </row>
    <row r="805" spans="3:6" ht="15.75" customHeight="1" x14ac:dyDescent="0.25">
      <c r="C805" s="41"/>
      <c r="E805" s="41"/>
      <c r="F805" s="41"/>
    </row>
    <row r="806" spans="3:6" ht="15.75" customHeight="1" x14ac:dyDescent="0.25">
      <c r="C806" s="41"/>
      <c r="E806" s="41"/>
      <c r="F806" s="41"/>
    </row>
    <row r="807" spans="3:6" ht="15.75" customHeight="1" x14ac:dyDescent="0.25">
      <c r="C807" s="41"/>
      <c r="E807" s="41"/>
      <c r="F807" s="41"/>
    </row>
    <row r="808" spans="3:6" ht="15.75" customHeight="1" x14ac:dyDescent="0.25">
      <c r="C808" s="41"/>
      <c r="E808" s="41"/>
      <c r="F808" s="41"/>
    </row>
    <row r="809" spans="3:6" ht="15.75" customHeight="1" x14ac:dyDescent="0.25">
      <c r="C809" s="41"/>
      <c r="E809" s="41"/>
      <c r="F809" s="41"/>
    </row>
    <row r="810" spans="3:6" ht="15.75" customHeight="1" x14ac:dyDescent="0.25">
      <c r="C810" s="41"/>
      <c r="E810" s="41"/>
      <c r="F810" s="41"/>
    </row>
    <row r="811" spans="3:6" ht="15.75" customHeight="1" x14ac:dyDescent="0.25">
      <c r="C811" s="41"/>
      <c r="E811" s="41"/>
      <c r="F811" s="41"/>
    </row>
    <row r="812" spans="3:6" ht="15.75" customHeight="1" x14ac:dyDescent="0.25">
      <c r="C812" s="41"/>
      <c r="E812" s="41"/>
      <c r="F812" s="41"/>
    </row>
    <row r="813" spans="3:6" ht="15.75" customHeight="1" x14ac:dyDescent="0.25">
      <c r="C813" s="41"/>
      <c r="E813" s="41"/>
      <c r="F813" s="41"/>
    </row>
    <row r="814" spans="3:6" ht="15.75" customHeight="1" x14ac:dyDescent="0.25">
      <c r="C814" s="41"/>
      <c r="E814" s="41"/>
      <c r="F814" s="41"/>
    </row>
    <row r="815" spans="3:6" ht="15.75" customHeight="1" x14ac:dyDescent="0.25">
      <c r="C815" s="41"/>
      <c r="E815" s="41"/>
      <c r="F815" s="41"/>
    </row>
    <row r="816" spans="3:6" ht="15.75" customHeight="1" x14ac:dyDescent="0.25">
      <c r="C816" s="41"/>
      <c r="E816" s="41"/>
      <c r="F816" s="41"/>
    </row>
    <row r="817" spans="3:6" ht="15.75" customHeight="1" x14ac:dyDescent="0.25">
      <c r="C817" s="41"/>
      <c r="E817" s="41"/>
      <c r="F817" s="41"/>
    </row>
    <row r="818" spans="3:6" ht="15.75" customHeight="1" x14ac:dyDescent="0.25">
      <c r="C818" s="41"/>
      <c r="E818" s="41"/>
      <c r="F818" s="41"/>
    </row>
    <row r="819" spans="3:6" ht="15.75" customHeight="1" x14ac:dyDescent="0.25">
      <c r="C819" s="41"/>
      <c r="E819" s="41"/>
      <c r="F819" s="41"/>
    </row>
    <row r="820" spans="3:6" ht="15.75" customHeight="1" x14ac:dyDescent="0.25">
      <c r="C820" s="41"/>
      <c r="E820" s="41"/>
      <c r="F820" s="41"/>
    </row>
    <row r="821" spans="3:6" ht="15.75" customHeight="1" x14ac:dyDescent="0.25">
      <c r="C821" s="41"/>
      <c r="E821" s="41"/>
      <c r="F821" s="41"/>
    </row>
    <row r="822" spans="3:6" ht="15.75" customHeight="1" x14ac:dyDescent="0.25">
      <c r="C822" s="41"/>
      <c r="E822" s="41"/>
      <c r="F822" s="41"/>
    </row>
    <row r="823" spans="3:6" ht="15.75" customHeight="1" x14ac:dyDescent="0.25">
      <c r="C823" s="41"/>
      <c r="E823" s="41"/>
      <c r="F823" s="41"/>
    </row>
    <row r="824" spans="3:6" ht="15.75" customHeight="1" x14ac:dyDescent="0.25">
      <c r="C824" s="41"/>
      <c r="E824" s="41"/>
      <c r="F824" s="41"/>
    </row>
    <row r="825" spans="3:6" ht="15.75" customHeight="1" x14ac:dyDescent="0.25">
      <c r="C825" s="41"/>
      <c r="E825" s="41"/>
      <c r="F825" s="41"/>
    </row>
    <row r="826" spans="3:6" ht="15.75" customHeight="1" x14ac:dyDescent="0.25">
      <c r="C826" s="41"/>
      <c r="E826" s="41"/>
      <c r="F826" s="41"/>
    </row>
    <row r="827" spans="3:6" ht="15.75" customHeight="1" x14ac:dyDescent="0.25">
      <c r="C827" s="41"/>
      <c r="E827" s="41"/>
      <c r="F827" s="41"/>
    </row>
    <row r="828" spans="3:6" ht="15.75" customHeight="1" x14ac:dyDescent="0.25">
      <c r="C828" s="41"/>
      <c r="E828" s="41"/>
      <c r="F828" s="41"/>
    </row>
    <row r="829" spans="3:6" ht="15.75" customHeight="1" x14ac:dyDescent="0.25">
      <c r="C829" s="41"/>
      <c r="E829" s="41"/>
      <c r="F829" s="41"/>
    </row>
    <row r="830" spans="3:6" ht="15.75" customHeight="1" x14ac:dyDescent="0.25">
      <c r="C830" s="41"/>
      <c r="E830" s="41"/>
      <c r="F830" s="41"/>
    </row>
    <row r="831" spans="3:6" ht="15.75" customHeight="1" x14ac:dyDescent="0.25">
      <c r="C831" s="41"/>
      <c r="E831" s="41"/>
      <c r="F831" s="41"/>
    </row>
    <row r="832" spans="3:6" ht="15.75" customHeight="1" x14ac:dyDescent="0.25">
      <c r="C832" s="41"/>
      <c r="E832" s="41"/>
      <c r="F832" s="41"/>
    </row>
    <row r="833" spans="3:6" ht="15.75" customHeight="1" x14ac:dyDescent="0.25">
      <c r="C833" s="41"/>
      <c r="E833" s="41"/>
      <c r="F833" s="41"/>
    </row>
    <row r="834" spans="3:6" ht="15.75" customHeight="1" x14ac:dyDescent="0.25">
      <c r="C834" s="41"/>
      <c r="E834" s="41"/>
      <c r="F834" s="41"/>
    </row>
    <row r="835" spans="3:6" ht="15.75" customHeight="1" x14ac:dyDescent="0.25">
      <c r="C835" s="41"/>
      <c r="E835" s="41"/>
      <c r="F835" s="41"/>
    </row>
    <row r="836" spans="3:6" ht="15.75" customHeight="1" x14ac:dyDescent="0.25">
      <c r="C836" s="41"/>
      <c r="E836" s="41"/>
      <c r="F836" s="41"/>
    </row>
    <row r="837" spans="3:6" ht="15.75" customHeight="1" x14ac:dyDescent="0.25">
      <c r="C837" s="41"/>
      <c r="E837" s="41"/>
      <c r="F837" s="41"/>
    </row>
    <row r="838" spans="3:6" ht="15.75" customHeight="1" x14ac:dyDescent="0.25">
      <c r="C838" s="41"/>
      <c r="E838" s="41"/>
      <c r="F838" s="41"/>
    </row>
    <row r="839" spans="3:6" ht="15.75" customHeight="1" x14ac:dyDescent="0.25">
      <c r="C839" s="41"/>
      <c r="E839" s="41"/>
      <c r="F839" s="41"/>
    </row>
    <row r="840" spans="3:6" ht="15.75" customHeight="1" x14ac:dyDescent="0.25">
      <c r="C840" s="41"/>
      <c r="E840" s="41"/>
      <c r="F840" s="41"/>
    </row>
    <row r="841" spans="3:6" ht="15.75" customHeight="1" x14ac:dyDescent="0.25">
      <c r="C841" s="41"/>
      <c r="E841" s="41"/>
      <c r="F841" s="41"/>
    </row>
    <row r="842" spans="3:6" ht="15.75" customHeight="1" x14ac:dyDescent="0.25">
      <c r="C842" s="41"/>
      <c r="E842" s="41"/>
      <c r="F842" s="41"/>
    </row>
    <row r="843" spans="3:6" ht="15.75" customHeight="1" x14ac:dyDescent="0.25">
      <c r="C843" s="41"/>
      <c r="E843" s="41"/>
      <c r="F843" s="41"/>
    </row>
    <row r="844" spans="3:6" ht="15.75" customHeight="1" x14ac:dyDescent="0.25">
      <c r="C844" s="41"/>
      <c r="E844" s="41"/>
      <c r="F844" s="41"/>
    </row>
    <row r="845" spans="3:6" ht="15.75" customHeight="1" x14ac:dyDescent="0.25">
      <c r="C845" s="41"/>
      <c r="E845" s="41"/>
      <c r="F845" s="41"/>
    </row>
    <row r="846" spans="3:6" ht="15.75" customHeight="1" x14ac:dyDescent="0.25">
      <c r="C846" s="41"/>
      <c r="E846" s="41"/>
      <c r="F846" s="41"/>
    </row>
    <row r="847" spans="3:6" ht="15.75" customHeight="1" x14ac:dyDescent="0.25">
      <c r="C847" s="41"/>
      <c r="E847" s="41"/>
      <c r="F847" s="41"/>
    </row>
    <row r="848" spans="3:6" ht="15.75" customHeight="1" x14ac:dyDescent="0.25">
      <c r="C848" s="41"/>
      <c r="E848" s="41"/>
      <c r="F848" s="41"/>
    </row>
    <row r="849" spans="3:6" ht="15.75" customHeight="1" x14ac:dyDescent="0.25">
      <c r="C849" s="41"/>
      <c r="E849" s="41"/>
      <c r="F849" s="41"/>
    </row>
    <row r="850" spans="3:6" ht="15.75" customHeight="1" x14ac:dyDescent="0.25">
      <c r="C850" s="41"/>
      <c r="E850" s="41"/>
      <c r="F850" s="41"/>
    </row>
    <row r="851" spans="3:6" ht="15.75" customHeight="1" x14ac:dyDescent="0.25">
      <c r="C851" s="41"/>
      <c r="E851" s="41"/>
      <c r="F851" s="41"/>
    </row>
    <row r="852" spans="3:6" ht="15.75" customHeight="1" x14ac:dyDescent="0.25">
      <c r="C852" s="41"/>
      <c r="E852" s="41"/>
      <c r="F852" s="41"/>
    </row>
    <row r="853" spans="3:6" ht="15.75" customHeight="1" x14ac:dyDescent="0.25">
      <c r="C853" s="41"/>
      <c r="E853" s="41"/>
      <c r="F853" s="41"/>
    </row>
    <row r="854" spans="3:6" ht="15.75" customHeight="1" x14ac:dyDescent="0.25">
      <c r="C854" s="41"/>
      <c r="E854" s="41"/>
      <c r="F854" s="41"/>
    </row>
    <row r="855" spans="3:6" ht="15.75" customHeight="1" x14ac:dyDescent="0.25">
      <c r="C855" s="41"/>
      <c r="E855" s="41"/>
      <c r="F855" s="41"/>
    </row>
    <row r="856" spans="3:6" ht="15.75" customHeight="1" x14ac:dyDescent="0.25">
      <c r="C856" s="41"/>
      <c r="E856" s="41"/>
      <c r="F856" s="41"/>
    </row>
    <row r="857" spans="3:6" ht="15.75" customHeight="1" x14ac:dyDescent="0.25">
      <c r="C857" s="41"/>
      <c r="E857" s="41"/>
      <c r="F857" s="41"/>
    </row>
    <row r="858" spans="3:6" ht="15.75" customHeight="1" x14ac:dyDescent="0.25">
      <c r="C858" s="41"/>
      <c r="E858" s="41"/>
      <c r="F858" s="41"/>
    </row>
    <row r="859" spans="3:6" ht="15.75" customHeight="1" x14ac:dyDescent="0.25">
      <c r="C859" s="41"/>
      <c r="E859" s="41"/>
      <c r="F859" s="41"/>
    </row>
    <row r="860" spans="3:6" ht="15.75" customHeight="1" x14ac:dyDescent="0.25">
      <c r="C860" s="41"/>
      <c r="E860" s="41"/>
      <c r="F860" s="41"/>
    </row>
    <row r="861" spans="3:6" ht="15.75" customHeight="1" x14ac:dyDescent="0.25">
      <c r="C861" s="41"/>
      <c r="E861" s="41"/>
      <c r="F861" s="41"/>
    </row>
    <row r="862" spans="3:6" ht="15.75" customHeight="1" x14ac:dyDescent="0.25">
      <c r="C862" s="41"/>
      <c r="E862" s="41"/>
      <c r="F862" s="41"/>
    </row>
    <row r="863" spans="3:6" ht="15.75" customHeight="1" x14ac:dyDescent="0.25">
      <c r="C863" s="41"/>
      <c r="E863" s="41"/>
      <c r="F863" s="41"/>
    </row>
    <row r="864" spans="3:6" ht="15.75" customHeight="1" x14ac:dyDescent="0.25">
      <c r="C864" s="41"/>
      <c r="E864" s="41"/>
      <c r="F864" s="41"/>
    </row>
    <row r="865" spans="3:6" ht="15.75" customHeight="1" x14ac:dyDescent="0.25">
      <c r="C865" s="41"/>
      <c r="E865" s="41"/>
      <c r="F865" s="41"/>
    </row>
    <row r="866" spans="3:6" ht="15.75" customHeight="1" x14ac:dyDescent="0.25">
      <c r="C866" s="41"/>
      <c r="E866" s="41"/>
      <c r="F866" s="41"/>
    </row>
    <row r="867" spans="3:6" ht="15.75" customHeight="1" x14ac:dyDescent="0.25">
      <c r="C867" s="41"/>
      <c r="E867" s="41"/>
      <c r="F867" s="41"/>
    </row>
    <row r="868" spans="3:6" ht="15.75" customHeight="1" x14ac:dyDescent="0.25">
      <c r="C868" s="41"/>
      <c r="E868" s="41"/>
      <c r="F868" s="41"/>
    </row>
    <row r="869" spans="3:6" ht="15.75" customHeight="1" x14ac:dyDescent="0.25">
      <c r="C869" s="41"/>
      <c r="E869" s="41"/>
      <c r="F869" s="41"/>
    </row>
    <row r="870" spans="3:6" ht="15.75" customHeight="1" x14ac:dyDescent="0.25">
      <c r="C870" s="41"/>
      <c r="E870" s="41"/>
      <c r="F870" s="41"/>
    </row>
    <row r="871" spans="3:6" ht="15.75" customHeight="1" x14ac:dyDescent="0.25">
      <c r="C871" s="41"/>
      <c r="E871" s="41"/>
      <c r="F871" s="41"/>
    </row>
    <row r="872" spans="3:6" ht="15.75" customHeight="1" x14ac:dyDescent="0.25">
      <c r="C872" s="41"/>
      <c r="E872" s="41"/>
      <c r="F872" s="41"/>
    </row>
    <row r="873" spans="3:6" ht="15.75" customHeight="1" x14ac:dyDescent="0.25">
      <c r="C873" s="41"/>
      <c r="E873" s="41"/>
      <c r="F873" s="41"/>
    </row>
    <row r="874" spans="3:6" ht="15.75" customHeight="1" x14ac:dyDescent="0.25">
      <c r="C874" s="41"/>
      <c r="E874" s="41"/>
      <c r="F874" s="41"/>
    </row>
    <row r="875" spans="3:6" ht="15.75" customHeight="1" x14ac:dyDescent="0.25">
      <c r="C875" s="41"/>
      <c r="E875" s="41"/>
      <c r="F875" s="41"/>
    </row>
    <row r="876" spans="3:6" ht="15.75" customHeight="1" x14ac:dyDescent="0.25">
      <c r="C876" s="41"/>
      <c r="E876" s="41"/>
      <c r="F876" s="41"/>
    </row>
    <row r="877" spans="3:6" ht="15.75" customHeight="1" x14ac:dyDescent="0.25">
      <c r="C877" s="41"/>
      <c r="E877" s="41"/>
      <c r="F877" s="41"/>
    </row>
    <row r="878" spans="3:6" ht="15.75" customHeight="1" x14ac:dyDescent="0.25">
      <c r="C878" s="41"/>
      <c r="E878" s="41"/>
      <c r="F878" s="41"/>
    </row>
    <row r="879" spans="3:6" ht="15.75" customHeight="1" x14ac:dyDescent="0.25">
      <c r="C879" s="41"/>
      <c r="E879" s="41"/>
      <c r="F879" s="41"/>
    </row>
    <row r="880" spans="3:6" ht="15.75" customHeight="1" x14ac:dyDescent="0.25">
      <c r="C880" s="41"/>
      <c r="E880" s="41"/>
      <c r="F880" s="41"/>
    </row>
    <row r="881" spans="3:6" ht="15.75" customHeight="1" x14ac:dyDescent="0.25">
      <c r="C881" s="41"/>
      <c r="E881" s="41"/>
      <c r="F881" s="41"/>
    </row>
    <row r="882" spans="3:6" ht="15.75" customHeight="1" x14ac:dyDescent="0.25">
      <c r="C882" s="41"/>
      <c r="E882" s="41"/>
      <c r="F882" s="41"/>
    </row>
    <row r="883" spans="3:6" ht="15.75" customHeight="1" x14ac:dyDescent="0.25">
      <c r="C883" s="41"/>
      <c r="E883" s="41"/>
      <c r="F883" s="41"/>
    </row>
    <row r="884" spans="3:6" ht="15.75" customHeight="1" x14ac:dyDescent="0.25">
      <c r="C884" s="41"/>
      <c r="E884" s="41"/>
      <c r="F884" s="41"/>
    </row>
    <row r="885" spans="3:6" ht="15.75" customHeight="1" x14ac:dyDescent="0.25">
      <c r="C885" s="41"/>
      <c r="E885" s="41"/>
      <c r="F885" s="41"/>
    </row>
    <row r="886" spans="3:6" ht="15.75" customHeight="1" x14ac:dyDescent="0.25">
      <c r="C886" s="41"/>
      <c r="E886" s="41"/>
      <c r="F886" s="41"/>
    </row>
    <row r="887" spans="3:6" ht="15.75" customHeight="1" x14ac:dyDescent="0.25">
      <c r="C887" s="41"/>
      <c r="E887" s="41"/>
      <c r="F887" s="41"/>
    </row>
    <row r="888" spans="3:6" ht="15.75" customHeight="1" x14ac:dyDescent="0.25">
      <c r="C888" s="41"/>
      <c r="E888" s="41"/>
      <c r="F888" s="41"/>
    </row>
    <row r="889" spans="3:6" ht="15.75" customHeight="1" x14ac:dyDescent="0.25">
      <c r="C889" s="41"/>
      <c r="E889" s="41"/>
      <c r="F889" s="41"/>
    </row>
    <row r="890" spans="3:6" ht="15.75" customHeight="1" x14ac:dyDescent="0.25">
      <c r="C890" s="41"/>
      <c r="E890" s="41"/>
      <c r="F890" s="41"/>
    </row>
    <row r="891" spans="3:6" ht="15.75" customHeight="1" x14ac:dyDescent="0.25">
      <c r="C891" s="41"/>
      <c r="E891" s="41"/>
      <c r="F891" s="41"/>
    </row>
    <row r="892" spans="3:6" ht="15.75" customHeight="1" x14ac:dyDescent="0.25">
      <c r="C892" s="41"/>
      <c r="E892" s="41"/>
      <c r="F892" s="41"/>
    </row>
    <row r="893" spans="3:6" ht="15.75" customHeight="1" x14ac:dyDescent="0.25">
      <c r="C893" s="41"/>
      <c r="E893" s="41"/>
      <c r="F893" s="41"/>
    </row>
    <row r="894" spans="3:6" ht="15.75" customHeight="1" x14ac:dyDescent="0.25">
      <c r="C894" s="41"/>
      <c r="E894" s="41"/>
      <c r="F894" s="41"/>
    </row>
    <row r="895" spans="3:6" ht="15.75" customHeight="1" x14ac:dyDescent="0.25">
      <c r="C895" s="41"/>
      <c r="E895" s="41"/>
      <c r="F895" s="41"/>
    </row>
    <row r="896" spans="3:6" ht="15.75" customHeight="1" x14ac:dyDescent="0.25">
      <c r="C896" s="41"/>
      <c r="E896" s="41"/>
      <c r="F896" s="41"/>
    </row>
    <row r="897" spans="3:6" ht="15.75" customHeight="1" x14ac:dyDescent="0.25">
      <c r="C897" s="41"/>
      <c r="E897" s="41"/>
      <c r="F897" s="41"/>
    </row>
    <row r="898" spans="3:6" ht="15.75" customHeight="1" x14ac:dyDescent="0.25">
      <c r="C898" s="41"/>
      <c r="E898" s="41"/>
      <c r="F898" s="41"/>
    </row>
    <row r="899" spans="3:6" ht="15.75" customHeight="1" x14ac:dyDescent="0.25">
      <c r="C899" s="41"/>
      <c r="E899" s="41"/>
      <c r="F899" s="41"/>
    </row>
    <row r="900" spans="3:6" ht="15.75" customHeight="1" x14ac:dyDescent="0.25">
      <c r="C900" s="41"/>
      <c r="E900" s="41"/>
      <c r="F900" s="41"/>
    </row>
    <row r="901" spans="3:6" ht="15.75" customHeight="1" x14ac:dyDescent="0.25">
      <c r="C901" s="41"/>
      <c r="E901" s="41"/>
      <c r="F901" s="41"/>
    </row>
    <row r="902" spans="3:6" ht="15.75" customHeight="1" x14ac:dyDescent="0.25">
      <c r="C902" s="41"/>
      <c r="E902" s="41"/>
      <c r="F902" s="41"/>
    </row>
    <row r="903" spans="3:6" ht="15.75" customHeight="1" x14ac:dyDescent="0.25">
      <c r="C903" s="41"/>
      <c r="E903" s="41"/>
      <c r="F903" s="41"/>
    </row>
    <row r="904" spans="3:6" ht="15.75" customHeight="1" x14ac:dyDescent="0.25">
      <c r="C904" s="41"/>
      <c r="E904" s="41"/>
      <c r="F904" s="41"/>
    </row>
    <row r="905" spans="3:6" ht="15.75" customHeight="1" x14ac:dyDescent="0.25">
      <c r="C905" s="41"/>
      <c r="E905" s="41"/>
      <c r="F905" s="41"/>
    </row>
    <row r="906" spans="3:6" ht="15.75" customHeight="1" x14ac:dyDescent="0.25">
      <c r="C906" s="41"/>
      <c r="E906" s="41"/>
      <c r="F906" s="41"/>
    </row>
    <row r="907" spans="3:6" ht="15.75" customHeight="1" x14ac:dyDescent="0.25">
      <c r="C907" s="41"/>
      <c r="E907" s="41"/>
      <c r="F907" s="41"/>
    </row>
    <row r="908" spans="3:6" ht="15.75" customHeight="1" x14ac:dyDescent="0.25">
      <c r="C908" s="41"/>
      <c r="E908" s="41"/>
      <c r="F908" s="41"/>
    </row>
    <row r="909" spans="3:6" ht="15.75" customHeight="1" x14ac:dyDescent="0.25">
      <c r="C909" s="41"/>
      <c r="E909" s="41"/>
      <c r="F909" s="41"/>
    </row>
    <row r="910" spans="3:6" ht="15.75" customHeight="1" x14ac:dyDescent="0.25">
      <c r="C910" s="41"/>
      <c r="E910" s="41"/>
      <c r="F910" s="41"/>
    </row>
    <row r="911" spans="3:6" ht="15.75" customHeight="1" x14ac:dyDescent="0.25">
      <c r="C911" s="41"/>
      <c r="E911" s="41"/>
      <c r="F911" s="41"/>
    </row>
    <row r="912" spans="3:6" ht="15.75" customHeight="1" x14ac:dyDescent="0.25">
      <c r="C912" s="41"/>
      <c r="E912" s="41"/>
      <c r="F912" s="41"/>
    </row>
    <row r="913" spans="3:6" ht="15.75" customHeight="1" x14ac:dyDescent="0.25">
      <c r="C913" s="41"/>
      <c r="E913" s="41"/>
      <c r="F913" s="41"/>
    </row>
    <row r="914" spans="3:6" ht="15.75" customHeight="1" x14ac:dyDescent="0.25">
      <c r="C914" s="41"/>
      <c r="E914" s="41"/>
      <c r="F914" s="41"/>
    </row>
    <row r="915" spans="3:6" ht="15.75" customHeight="1" x14ac:dyDescent="0.25">
      <c r="C915" s="41"/>
      <c r="E915" s="41"/>
      <c r="F915" s="41"/>
    </row>
    <row r="916" spans="3:6" ht="15.75" customHeight="1" x14ac:dyDescent="0.25">
      <c r="C916" s="41"/>
      <c r="E916" s="41"/>
      <c r="F916" s="41"/>
    </row>
    <row r="917" spans="3:6" ht="15.75" customHeight="1" x14ac:dyDescent="0.25">
      <c r="C917" s="41"/>
      <c r="E917" s="41"/>
      <c r="F917" s="41"/>
    </row>
    <row r="918" spans="3:6" ht="15.75" customHeight="1" x14ac:dyDescent="0.25">
      <c r="C918" s="41"/>
      <c r="E918" s="41"/>
      <c r="F918" s="41"/>
    </row>
    <row r="919" spans="3:6" ht="15.75" customHeight="1" x14ac:dyDescent="0.25">
      <c r="C919" s="41"/>
      <c r="E919" s="41"/>
      <c r="F919" s="41"/>
    </row>
    <row r="920" spans="3:6" ht="15.75" customHeight="1" x14ac:dyDescent="0.25">
      <c r="C920" s="41"/>
      <c r="E920" s="41"/>
      <c r="F920" s="41"/>
    </row>
    <row r="921" spans="3:6" ht="15.75" customHeight="1" x14ac:dyDescent="0.25">
      <c r="C921" s="41"/>
      <c r="E921" s="41"/>
      <c r="F921" s="41"/>
    </row>
    <row r="922" spans="3:6" ht="15.75" customHeight="1" x14ac:dyDescent="0.25">
      <c r="C922" s="41"/>
      <c r="E922" s="41"/>
      <c r="F922" s="41"/>
    </row>
    <row r="923" spans="3:6" ht="15.75" customHeight="1" x14ac:dyDescent="0.25">
      <c r="C923" s="41"/>
      <c r="E923" s="41"/>
      <c r="F923" s="41"/>
    </row>
    <row r="924" spans="3:6" ht="15.75" customHeight="1" x14ac:dyDescent="0.25">
      <c r="C924" s="41"/>
      <c r="E924" s="41"/>
      <c r="F924" s="41"/>
    </row>
    <row r="925" spans="3:6" ht="15.75" customHeight="1" x14ac:dyDescent="0.25">
      <c r="C925" s="41"/>
      <c r="E925" s="41"/>
      <c r="F925" s="41"/>
    </row>
    <row r="926" spans="3:6" ht="15.75" customHeight="1" x14ac:dyDescent="0.25">
      <c r="C926" s="41"/>
      <c r="E926" s="41"/>
      <c r="F926" s="41"/>
    </row>
    <row r="927" spans="3:6" ht="15.75" customHeight="1" x14ac:dyDescent="0.25">
      <c r="C927" s="41"/>
      <c r="E927" s="41"/>
      <c r="F927" s="41"/>
    </row>
    <row r="928" spans="3:6" ht="15.75" customHeight="1" x14ac:dyDescent="0.25">
      <c r="C928" s="41"/>
      <c r="E928" s="41"/>
      <c r="F928" s="41"/>
    </row>
    <row r="929" spans="3:6" ht="15.75" customHeight="1" x14ac:dyDescent="0.25">
      <c r="C929" s="41"/>
      <c r="E929" s="41"/>
      <c r="F929" s="41"/>
    </row>
    <row r="930" spans="3:6" ht="15.75" customHeight="1" x14ac:dyDescent="0.25">
      <c r="C930" s="41"/>
      <c r="E930" s="41"/>
      <c r="F930" s="41"/>
    </row>
    <row r="931" spans="3:6" ht="15.75" customHeight="1" x14ac:dyDescent="0.25">
      <c r="C931" s="41"/>
      <c r="E931" s="41"/>
      <c r="F931" s="41"/>
    </row>
    <row r="932" spans="3:6" ht="15.75" customHeight="1" x14ac:dyDescent="0.25">
      <c r="C932" s="41"/>
      <c r="E932" s="41"/>
      <c r="F932" s="41"/>
    </row>
    <row r="933" spans="3:6" ht="15.75" customHeight="1" x14ac:dyDescent="0.25">
      <c r="C933" s="41"/>
      <c r="E933" s="41"/>
      <c r="F933" s="41"/>
    </row>
    <row r="934" spans="3:6" ht="15.75" customHeight="1" x14ac:dyDescent="0.25">
      <c r="C934" s="41"/>
      <c r="E934" s="41"/>
      <c r="F934" s="41"/>
    </row>
    <row r="935" spans="3:6" ht="15.75" customHeight="1" x14ac:dyDescent="0.25">
      <c r="C935" s="41"/>
      <c r="E935" s="41"/>
      <c r="F935" s="41"/>
    </row>
    <row r="936" spans="3:6" ht="15.75" customHeight="1" x14ac:dyDescent="0.25">
      <c r="C936" s="41"/>
      <c r="E936" s="41"/>
      <c r="F936" s="41"/>
    </row>
    <row r="937" spans="3:6" ht="15.75" customHeight="1" x14ac:dyDescent="0.25">
      <c r="C937" s="41"/>
      <c r="E937" s="41"/>
      <c r="F937" s="41"/>
    </row>
    <row r="938" spans="3:6" ht="15.75" customHeight="1" x14ac:dyDescent="0.25">
      <c r="C938" s="41"/>
      <c r="E938" s="41"/>
      <c r="F938" s="41"/>
    </row>
    <row r="939" spans="3:6" ht="15.75" customHeight="1" x14ac:dyDescent="0.25">
      <c r="C939" s="41"/>
      <c r="E939" s="41"/>
      <c r="F939" s="41"/>
    </row>
    <row r="940" spans="3:6" ht="15.75" customHeight="1" x14ac:dyDescent="0.25">
      <c r="C940" s="41"/>
      <c r="E940" s="41"/>
      <c r="F940" s="41"/>
    </row>
    <row r="941" spans="3:6" ht="15.75" customHeight="1" x14ac:dyDescent="0.25">
      <c r="C941" s="41"/>
      <c r="E941" s="41"/>
      <c r="F941" s="41"/>
    </row>
    <row r="942" spans="3:6" ht="15.75" customHeight="1" x14ac:dyDescent="0.25">
      <c r="C942" s="41"/>
      <c r="E942" s="41"/>
      <c r="F942" s="41"/>
    </row>
    <row r="943" spans="3:6" ht="15.75" customHeight="1" x14ac:dyDescent="0.25">
      <c r="C943" s="41"/>
      <c r="E943" s="41"/>
      <c r="F943" s="41"/>
    </row>
    <row r="944" spans="3:6" ht="15.75" customHeight="1" x14ac:dyDescent="0.25">
      <c r="C944" s="41"/>
      <c r="E944" s="41"/>
      <c r="F944" s="41"/>
    </row>
    <row r="945" spans="3:6" ht="15.75" customHeight="1" x14ac:dyDescent="0.25">
      <c r="C945" s="41"/>
      <c r="E945" s="41"/>
      <c r="F945" s="41"/>
    </row>
    <row r="946" spans="3:6" ht="15.75" customHeight="1" x14ac:dyDescent="0.25">
      <c r="C946" s="41"/>
      <c r="E946" s="41"/>
      <c r="F946" s="41"/>
    </row>
    <row r="947" spans="3:6" ht="15.75" customHeight="1" x14ac:dyDescent="0.25">
      <c r="C947" s="41"/>
      <c r="E947" s="41"/>
      <c r="F947" s="41"/>
    </row>
    <row r="948" spans="3:6" ht="15.75" customHeight="1" x14ac:dyDescent="0.25">
      <c r="C948" s="41"/>
      <c r="E948" s="41"/>
      <c r="F948" s="41"/>
    </row>
    <row r="949" spans="3:6" ht="15.75" customHeight="1" x14ac:dyDescent="0.25">
      <c r="C949" s="41"/>
      <c r="E949" s="41"/>
      <c r="F949" s="41"/>
    </row>
    <row r="950" spans="3:6" ht="15.75" customHeight="1" x14ac:dyDescent="0.25">
      <c r="C950" s="41"/>
      <c r="E950" s="41"/>
      <c r="F950" s="41"/>
    </row>
    <row r="951" spans="3:6" ht="15.75" customHeight="1" x14ac:dyDescent="0.25">
      <c r="C951" s="41"/>
      <c r="E951" s="41"/>
      <c r="F951" s="41"/>
    </row>
    <row r="952" spans="3:6" ht="15.75" customHeight="1" x14ac:dyDescent="0.25">
      <c r="C952" s="41"/>
      <c r="E952" s="41"/>
      <c r="F952" s="41"/>
    </row>
    <row r="953" spans="3:6" ht="15.75" customHeight="1" x14ac:dyDescent="0.25">
      <c r="C953" s="41"/>
      <c r="E953" s="41"/>
      <c r="F953" s="41"/>
    </row>
    <row r="954" spans="3:6" ht="15.75" customHeight="1" x14ac:dyDescent="0.25">
      <c r="C954" s="41"/>
      <c r="E954" s="41"/>
      <c r="F954" s="41"/>
    </row>
    <row r="955" spans="3:6" ht="15.75" customHeight="1" x14ac:dyDescent="0.25">
      <c r="C955" s="41"/>
      <c r="E955" s="41"/>
      <c r="F955" s="41"/>
    </row>
    <row r="956" spans="3:6" ht="15.75" customHeight="1" x14ac:dyDescent="0.25">
      <c r="C956" s="41"/>
      <c r="E956" s="41"/>
      <c r="F956" s="41"/>
    </row>
    <row r="957" spans="3:6" ht="15.75" customHeight="1" x14ac:dyDescent="0.25">
      <c r="C957" s="41"/>
      <c r="E957" s="41"/>
      <c r="F957" s="41"/>
    </row>
    <row r="958" spans="3:6" ht="15.75" customHeight="1" x14ac:dyDescent="0.25">
      <c r="C958" s="41"/>
      <c r="E958" s="41"/>
      <c r="F958" s="41"/>
    </row>
    <row r="959" spans="3:6" ht="15.75" customHeight="1" x14ac:dyDescent="0.25">
      <c r="C959" s="41"/>
      <c r="E959" s="41"/>
      <c r="F959" s="41"/>
    </row>
    <row r="960" spans="3:6" ht="15.75" customHeight="1" x14ac:dyDescent="0.25">
      <c r="C960" s="41"/>
      <c r="E960" s="41"/>
      <c r="F960" s="41"/>
    </row>
    <row r="961" spans="3:6" ht="15.75" customHeight="1" x14ac:dyDescent="0.25">
      <c r="C961" s="41"/>
      <c r="E961" s="41"/>
      <c r="F961" s="41"/>
    </row>
    <row r="962" spans="3:6" ht="15.75" customHeight="1" x14ac:dyDescent="0.25">
      <c r="C962" s="41"/>
      <c r="E962" s="41"/>
      <c r="F962" s="41"/>
    </row>
    <row r="963" spans="3:6" ht="15.75" customHeight="1" x14ac:dyDescent="0.25">
      <c r="C963" s="41"/>
      <c r="E963" s="41"/>
      <c r="F963" s="41"/>
    </row>
    <row r="964" spans="3:6" ht="15.75" customHeight="1" x14ac:dyDescent="0.25">
      <c r="C964" s="41"/>
      <c r="E964" s="41"/>
      <c r="F964" s="41"/>
    </row>
    <row r="965" spans="3:6" ht="15.75" customHeight="1" x14ac:dyDescent="0.25">
      <c r="C965" s="41"/>
      <c r="E965" s="41"/>
      <c r="F965" s="41"/>
    </row>
    <row r="966" spans="3:6" ht="15.75" customHeight="1" x14ac:dyDescent="0.25">
      <c r="C966" s="41"/>
      <c r="E966" s="41"/>
      <c r="F966" s="41"/>
    </row>
    <row r="967" spans="3:6" ht="15.75" customHeight="1" x14ac:dyDescent="0.25">
      <c r="C967" s="41"/>
      <c r="E967" s="41"/>
      <c r="F967" s="41"/>
    </row>
    <row r="968" spans="3:6" ht="15.75" customHeight="1" x14ac:dyDescent="0.25">
      <c r="C968" s="41"/>
      <c r="E968" s="41"/>
      <c r="F968" s="41"/>
    </row>
    <row r="969" spans="3:6" ht="15.75" customHeight="1" x14ac:dyDescent="0.25">
      <c r="C969" s="41"/>
      <c r="E969" s="41"/>
      <c r="F969" s="41"/>
    </row>
    <row r="970" spans="3:6" ht="15.75" customHeight="1" x14ac:dyDescent="0.25">
      <c r="C970" s="41"/>
      <c r="E970" s="41"/>
      <c r="F970" s="41"/>
    </row>
    <row r="971" spans="3:6" ht="15.75" customHeight="1" x14ac:dyDescent="0.25">
      <c r="C971" s="41"/>
      <c r="E971" s="41"/>
      <c r="F971" s="41"/>
    </row>
    <row r="972" spans="3:6" ht="15.75" customHeight="1" x14ac:dyDescent="0.25">
      <c r="C972" s="41"/>
      <c r="E972" s="41"/>
      <c r="F972" s="41"/>
    </row>
    <row r="973" spans="3:6" ht="15.75" customHeight="1" x14ac:dyDescent="0.25">
      <c r="C973" s="41"/>
      <c r="E973" s="41"/>
      <c r="F973" s="41"/>
    </row>
    <row r="974" spans="3:6" ht="15.75" customHeight="1" x14ac:dyDescent="0.25">
      <c r="C974" s="41"/>
      <c r="E974" s="41"/>
      <c r="F974" s="41"/>
    </row>
    <row r="975" spans="3:6" ht="15.75" customHeight="1" x14ac:dyDescent="0.25">
      <c r="C975" s="41"/>
      <c r="E975" s="41"/>
      <c r="F975" s="41"/>
    </row>
    <row r="976" spans="3:6" ht="15.75" customHeight="1" x14ac:dyDescent="0.25">
      <c r="C976" s="41"/>
      <c r="E976" s="41"/>
      <c r="F976" s="41"/>
    </row>
    <row r="977" spans="3:6" ht="15.75" customHeight="1" x14ac:dyDescent="0.25">
      <c r="C977" s="41"/>
      <c r="E977" s="41"/>
      <c r="F977" s="41"/>
    </row>
    <row r="978" spans="3:6" ht="15.75" customHeight="1" x14ac:dyDescent="0.25">
      <c r="C978" s="41"/>
      <c r="E978" s="41"/>
      <c r="F978" s="41"/>
    </row>
    <row r="979" spans="3:6" ht="15.75" customHeight="1" x14ac:dyDescent="0.25">
      <c r="C979" s="41"/>
      <c r="E979" s="41"/>
      <c r="F979" s="41"/>
    </row>
    <row r="980" spans="3:6" ht="15.75" customHeight="1" x14ac:dyDescent="0.25">
      <c r="C980" s="41"/>
      <c r="E980" s="41"/>
      <c r="F980" s="41"/>
    </row>
    <row r="981" spans="3:6" ht="15.75" customHeight="1" x14ac:dyDescent="0.25">
      <c r="C981" s="41"/>
      <c r="E981" s="41"/>
      <c r="F981" s="41"/>
    </row>
    <row r="982" spans="3:6" ht="15.75" customHeight="1" x14ac:dyDescent="0.25">
      <c r="C982" s="41"/>
      <c r="E982" s="41"/>
      <c r="F982" s="41"/>
    </row>
    <row r="983" spans="3:6" ht="15.75" customHeight="1" x14ac:dyDescent="0.25">
      <c r="C983" s="41"/>
      <c r="E983" s="41"/>
      <c r="F983" s="41"/>
    </row>
    <row r="984" spans="3:6" ht="15.75" customHeight="1" x14ac:dyDescent="0.25">
      <c r="C984" s="41"/>
      <c r="E984" s="41"/>
      <c r="F984" s="41"/>
    </row>
    <row r="985" spans="3:6" ht="15.75" customHeight="1" x14ac:dyDescent="0.25">
      <c r="C985" s="41"/>
      <c r="E985" s="41"/>
      <c r="F985" s="41"/>
    </row>
    <row r="986" spans="3:6" ht="15.75" customHeight="1" x14ac:dyDescent="0.25">
      <c r="C986" s="41"/>
      <c r="E986" s="41"/>
      <c r="F986" s="41"/>
    </row>
    <row r="987" spans="3:6" ht="15.75" customHeight="1" x14ac:dyDescent="0.25">
      <c r="C987" s="41"/>
      <c r="E987" s="41"/>
      <c r="F987" s="41"/>
    </row>
    <row r="988" spans="3:6" ht="15.75" customHeight="1" x14ac:dyDescent="0.25">
      <c r="C988" s="41"/>
      <c r="E988" s="41"/>
      <c r="F988" s="41"/>
    </row>
    <row r="989" spans="3:6" ht="15.75" customHeight="1" x14ac:dyDescent="0.25">
      <c r="C989" s="41"/>
      <c r="E989" s="41"/>
      <c r="F989" s="41"/>
    </row>
    <row r="990" spans="3:6" ht="15.75" customHeight="1" x14ac:dyDescent="0.25">
      <c r="C990" s="41"/>
      <c r="E990" s="41"/>
      <c r="F990" s="41"/>
    </row>
    <row r="991" spans="3:6" ht="15.75" customHeight="1" x14ac:dyDescent="0.25">
      <c r="C991" s="41"/>
      <c r="E991" s="41"/>
      <c r="F991" s="41"/>
    </row>
    <row r="992" spans="3:6" ht="15.75" customHeight="1" x14ac:dyDescent="0.25">
      <c r="C992" s="41"/>
      <c r="E992" s="41"/>
      <c r="F992" s="41"/>
    </row>
    <row r="993" spans="3:6" ht="15.75" customHeight="1" x14ac:dyDescent="0.25">
      <c r="C993" s="41"/>
      <c r="E993" s="41"/>
      <c r="F993" s="41"/>
    </row>
    <row r="994" spans="3:6" ht="15.75" customHeight="1" x14ac:dyDescent="0.25">
      <c r="E994" s="41"/>
      <c r="F994" s="41"/>
    </row>
    <row r="995" spans="3:6" ht="15.75" customHeight="1" x14ac:dyDescent="0.25">
      <c r="E995" s="41"/>
      <c r="F995" s="41"/>
    </row>
    <row r="996" spans="3:6" ht="15.75" customHeight="1" x14ac:dyDescent="0.25">
      <c r="E996" s="41"/>
      <c r="F996" s="41"/>
    </row>
    <row r="997" spans="3:6" ht="15.75" customHeight="1" x14ac:dyDescent="0.25">
      <c r="E997" s="41"/>
      <c r="F997" s="41"/>
    </row>
    <row r="998" spans="3:6" ht="15.75" customHeight="1" x14ac:dyDescent="0.25">
      <c r="E998" s="41"/>
      <c r="F998" s="41"/>
    </row>
    <row r="999" spans="3:6" ht="15.75" customHeight="1" x14ac:dyDescent="0.25">
      <c r="E999" s="41"/>
      <c r="F999" s="41"/>
    </row>
    <row r="1000" spans="3:6" ht="15.75" customHeight="1" x14ac:dyDescent="0.25">
      <c r="E1000" s="41"/>
      <c r="F1000" s="41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- Grupos</vt:lpstr>
      <vt:lpstr>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Francisco Antonio</dc:creator>
  <cp:lastModifiedBy>Frank Alessandro Roldan Belalcazar</cp:lastModifiedBy>
  <dcterms:created xsi:type="dcterms:W3CDTF">2026-05-21T17:03:53Z</dcterms:created>
  <dcterms:modified xsi:type="dcterms:W3CDTF">2026-06-16T22:45:00Z</dcterms:modified>
</cp:coreProperties>
</file>